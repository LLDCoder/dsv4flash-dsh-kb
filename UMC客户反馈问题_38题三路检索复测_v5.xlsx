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2c6d8c583d49d7" /></Relationships>
</file>

<file path=xl/workbook.xml><?xml version="1.0" encoding="utf-8"?>
<x:workbook xmlns:x="http://schemas.openxmlformats.org/spreadsheetml/2006/main">
  <x:sheets>
    <x:sheet xmlns:r="http://schemas.openxmlformats.org/officeDocument/2006/relationships" name="Summary" sheetId="1" r:id="R9073b201a0e04bc8"/>
    <x:sheet xmlns:r="http://schemas.openxmlformats.org/officeDocument/2006/relationships" name="38题逐条结果" sheetId="2" r:id="Rbdd8dc16a11b47a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8">
    <x:font>
      <x:sz val="11"/>
      <x:name val="Carlito"/>
    </x:font>
    <x:font>
      <x:b/>
      <x:sz val="21"/>
      <x:color rgb="FFFFFFFF"/>
      <x:name val="Carlito"/>
    </x:font>
    <x:font>
      <x:sz val="10"/>
      <x:color rgb="FFD5DEE6"/>
      <x:name val="Carlito"/>
    </x:font>
    <x:font>
      <x:b/>
      <x:sz val="11"/>
      <x:color rgb="FF17212B"/>
      <x:name val="Carlito"/>
    </x:font>
    <x:font>
      <x:b/>
      <x:sz val="20"/>
      <x:color rgb="FF0E141A"/>
      <x:name val="Carlito"/>
    </x:font>
    <x:font>
      <x:b/>
      <x:sz val="12"/>
      <x:color rgb="FFB8FF5A"/>
      <x:name val="Carlito"/>
    </x:font>
    <x:font>
      <x:b/>
      <x:sz val="12"/>
      <x:color rgb="FF75A7FF"/>
      <x:name val="Carlito"/>
    </x:font>
    <x:font>
      <x:sz val="11"/>
      <x:color rgb="FF0E141A"/>
      <x:name val="Carlito"/>
    </x:font>
    <x:font>
      <x:b/>
      <x:sz val="21"/>
      <x:color rgb="FFFFFFFF"/>
      <x:name val="Aptos"/>
    </x:font>
    <x:font>
      <x:sz val="10"/>
      <x:color rgb="FFD5DEE6"/>
      <x:name val="Aptos"/>
    </x:font>
    <x:font>
      <x:sz val="11"/>
      <x:name val="Aptos"/>
    </x:font>
    <x:font>
      <x:b/>
      <x:sz val="11"/>
      <x:color rgb="FF17212B"/>
      <x:name val="Aptos"/>
    </x:font>
    <x:font>
      <x:b/>
      <x:sz val="20"/>
      <x:color rgb="FF0E141A"/>
      <x:name val="Aptos"/>
    </x:font>
    <x:font>
      <x:b/>
      <x:sz val="12"/>
      <x:color rgb="FFB8FF5A"/>
      <x:name val="Aptos"/>
    </x:font>
    <x:font>
      <x:sz val="11"/>
      <x:color rgb="FF0E141A"/>
      <x:name val="Aptos"/>
    </x:font>
    <x:font>
      <x:b/>
      <x:sz val="12"/>
      <x:color rgb="FF75A7FF"/>
      <x:name val="Aptos"/>
    </x:font>
    <x:font>
      <x:b/>
      <x:sz val="10"/>
      <x:color rgb="FFFFFFFF"/>
      <x:name val="Aptos"/>
    </x:font>
    <x:font>
      <x:sz val="9"/>
      <x:color rgb="FF0E141A"/>
      <x:name val="Aptos"/>
    </x:font>
  </x:fonts>
  <x:fills count="6">
    <x:fill>
      <x:patternFill patternType="none"/>
    </x:fill>
    <x:fill>
      <x:patternFill patternType="gray125"/>
    </x:fill>
    <x:fill>
      <x:patternFill patternType="solid">
        <x:fgColor rgb="FF17212B"/>
      </x:patternFill>
    </x:fill>
    <x:fill>
      <x:patternFill patternType="solid">
        <x:fgColor rgb="FF273542"/>
      </x:patternFill>
    </x:fill>
    <x:fill>
      <x:patternFill patternType="solid">
        <x:fgColor rgb="FFDDE6ED"/>
      </x:patternFill>
    </x:fill>
    <x:fill>
      <x:patternFill patternType="solid">
        <x:fgColor rgb="FFF7F9FB"/>
      </x:patternFill>
    </x:fill>
  </x:fills>
  <x:borders count="12">
    <x:border/>
    <x:border>
      <x:left style="thin">
        <x:color rgb="FFCAD3DC"/>
      </x:left>
      <x:top style="thin">
        <x:color rgb="FFCAD3DC"/>
      </x:top>
    </x:border>
    <x:border>
      <x:top style="thin">
        <x:color rgb="FFCAD3DC"/>
      </x:top>
    </x:border>
    <x:border>
      <x:right style="thin">
        <x:color rgb="FFCAD3DC"/>
      </x:right>
      <x:top style="thin">
        <x:color rgb="FFCAD3DC"/>
      </x:top>
    </x:border>
    <x:border>
      <x:left style="thin">
        <x:color rgb="FFCAD3DC"/>
      </x:left>
      <x:bottom style="thin">
        <x:color rgb="FFCAD3DC"/>
      </x:bottom>
    </x:border>
    <x:border>
      <x:bottom style="thin">
        <x:color rgb="FFCAD3DC"/>
      </x:bottom>
    </x:border>
    <x:border>
      <x:right style="thin">
        <x:color rgb="FFCAD3DC"/>
      </x:right>
      <x:bottom style="thin">
        <x:color rgb="FFCAD3DC"/>
      </x:bottom>
    </x:border>
    <x:border>
      <x:left style="thin">
        <x:color rgb="FFCAD3DC"/>
      </x:left>
    </x:border>
    <x:border>
      <x:right style="thin">
        <x:color rgb="FFCAD3DC"/>
      </x:right>
    </x:border>
    <x:border>
      <x:bottom style="thin">
        <x:color rgb="FFE2E7EB"/>
      </x:bottom>
    </x:border>
    <x:border>
      <x:top style="thin">
        <x:color rgb="FFE2E7EB"/>
      </x:top>
      <x:bottom style="thin">
        <x:color rgb="FFE2E7EB"/>
      </x:bottom>
    </x:border>
    <x:border>
      <x:top style="thin">
        <x:color rgb="FFE2E7EB"/>
      </x:top>
    </x:border>
  </x:borders>
  <x:cellStyleXfs count="1">
    <x:xf numFmtId="0" fontId="0" fillId="0" borderId="0"/>
  </x:cellStyleXfs>
  <x:cellXfs count="10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6"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4" fillId="5" borderId="6" xfId="0" applyNumberFormat="1" applyFont="1" applyFill="1" applyBorder="1" applyAlignment="1">
      <x:alignment horizontal="center" vertical="center"/>
    </x:xf>
    <x:xf numFmtId="200" fontId="4" fillId="5" borderId="2" xfId="0" applyNumberFormat="1" applyFont="1" applyFill="1" applyBorder="1" applyAlignment="1">
      <x:alignment horizontal="center" vertical="center"/>
    </x:xf>
    <x:xf numFmtId="200" fontId="4" fillId="5" borderId="5" xfId="0" applyNumberFormat="1" applyFont="1" applyFill="1" applyBorder="1" applyAlignment="1">
      <x:alignment horizontal="center" vertical="center"/>
    </x:xf>
    <x:xf numFmtId="0" fontId="5" fillId="2" borderId="0" xfId="0" applyNumberFormat="1" applyFont="1" applyFill="1" applyBorder="1"/>
    <x:xf numFmtId="0" fontId="6" fillId="2" borderId="0" xfId="0" applyNumberFormat="1" applyFont="1" applyFill="1" applyBorder="1"/>
    <x:xf numFmtId="0" fontId="7" fillId="5" borderId="0" xfId="0" applyNumberFormat="1" applyFont="1" applyFill="1" applyBorder="1"/>
    <x:xf numFmtId="0" fontId="7" fillId="5" borderId="1"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7" fillId="5" borderId="7" xfId="0" applyNumberFormat="1" applyFont="1" applyFill="1" applyBorder="1"/>
    <x:xf numFmtId="0" fontId="7" fillId="5" borderId="8"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1" xfId="0" applyNumberFormat="1" applyFont="1" applyFill="1" applyBorder="1" applyAlignment="1">
      <x:alignment wrapText="1"/>
    </x:xf>
    <x:xf numFmtId="0" fontId="7" fillId="5" borderId="2" xfId="0" applyNumberFormat="1" applyFont="1" applyFill="1" applyBorder="1" applyAlignment="1">
      <x:alignment wrapText="1"/>
    </x:xf>
    <x:xf numFmtId="0" fontId="7" fillId="5" borderId="3" xfId="0" applyNumberFormat="1" applyFont="1" applyFill="1" applyBorder="1" applyAlignment="1">
      <x:alignment wrapText="1"/>
    </x:xf>
    <x:xf numFmtId="0" fontId="7" fillId="5" borderId="7"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8" xfId="0" applyNumberFormat="1" applyFont="1" applyFill="1" applyBorder="1" applyAlignment="1">
      <x:alignment wrapText="1"/>
    </x:xf>
    <x:xf numFmtId="0" fontId="7" fillId="5" borderId="4"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1"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8"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8" fillId="2" borderId="0" xfId="0" applyNumberFormat="1" applyFont="1" applyFill="1" applyBorder="1" applyAlignment="1">
      <x:alignment vertical="center"/>
    </x:xf>
    <x:xf numFmtId="0" fontId="9" fillId="3" borderId="0" xfId="0" applyNumberFormat="1" applyFont="1" applyFill="1" applyBorder="1"/>
    <x:xf numFmtId="0" fontId="10" fillId="0" borderId="0" xfId="0" applyNumberFormat="1" applyFont="1" applyFill="1" applyBorder="1"/>
    <x:xf numFmtId="0" fontId="11" fillId="4" borderId="0" xfId="0" applyNumberFormat="1" applyFont="1" applyFill="1" applyBorder="1" applyAlignment="1">
      <x:alignment horizontal="center"/>
    </x:xf>
    <x:xf numFmtId="0" fontId="12" fillId="5" borderId="1" xfId="0" applyNumberFormat="1" applyFont="1" applyFill="1" applyBorder="1" applyAlignment="1">
      <x:alignment horizontal="center" vertical="center"/>
    </x:xf>
    <x:xf numFmtId="0" fontId="12" fillId="5" borderId="2" xfId="0" applyNumberFormat="1" applyFont="1" applyFill="1" applyBorder="1" applyAlignment="1">
      <x:alignment horizontal="center" vertical="center"/>
    </x:xf>
    <x:xf numFmtId="200" fontId="12" fillId="5" borderId="2" xfId="0" applyNumberFormat="1" applyFont="1" applyFill="1" applyBorder="1" applyAlignment="1">
      <x:alignment horizontal="center" vertical="center"/>
    </x:xf>
    <x:xf numFmtId="0" fontId="12" fillId="5" borderId="3" xfId="0" applyNumberFormat="1" applyFont="1" applyFill="1" applyBorder="1" applyAlignment="1">
      <x:alignment horizontal="center" vertical="center"/>
    </x:xf>
    <x:xf numFmtId="0" fontId="12" fillId="5" borderId="4" xfId="0" applyNumberFormat="1" applyFont="1" applyFill="1" applyBorder="1" applyAlignment="1">
      <x:alignment horizontal="center" vertical="center"/>
    </x:xf>
    <x:xf numFmtId="0" fontId="12" fillId="5" borderId="5" xfId="0" applyNumberFormat="1" applyFont="1" applyFill="1" applyBorder="1" applyAlignment="1">
      <x:alignment horizontal="center" vertical="center"/>
    </x:xf>
    <x:xf numFmtId="200" fontId="12" fillId="5" borderId="5" xfId="0" applyNumberFormat="1" applyFont="1" applyFill="1" applyBorder="1" applyAlignment="1">
      <x:alignment horizontal="center" vertical="center"/>
    </x:xf>
    <x:xf numFmtId="0" fontId="12" fillId="5" borderId="6" xfId="0" applyNumberFormat="1" applyFont="1" applyFill="1" applyBorder="1" applyAlignment="1">
      <x:alignment horizontal="center" vertical="center"/>
    </x:xf>
    <x:xf numFmtId="0" fontId="13" fillId="2" borderId="0" xfId="0" applyNumberFormat="1" applyFont="1" applyFill="1" applyBorder="1"/>
    <x:xf numFmtId="0" fontId="14" fillId="5" borderId="1" xfId="0" applyNumberFormat="1" applyFont="1" applyFill="1" applyBorder="1" applyAlignment="1">
      <x:alignment vertical="top" wrapText="1"/>
    </x:xf>
    <x:xf numFmtId="0" fontId="14" fillId="5" borderId="2" xfId="0" applyNumberFormat="1" applyFont="1" applyFill="1" applyBorder="1" applyAlignment="1">
      <x:alignment vertical="top" wrapText="1"/>
    </x:xf>
    <x:xf numFmtId="0" fontId="14" fillId="5" borderId="3" xfId="0" applyNumberFormat="1" applyFont="1" applyFill="1" applyBorder="1" applyAlignment="1">
      <x:alignment vertical="top" wrapText="1"/>
    </x:xf>
    <x:xf numFmtId="0" fontId="14" fillId="5" borderId="7" xfId="0" applyNumberFormat="1" applyFont="1" applyFill="1" applyBorder="1" applyAlignment="1">
      <x:alignment vertical="top" wrapText="1"/>
    </x:xf>
    <x:xf numFmtId="0" fontId="14" fillId="5" borderId="0" xfId="0" applyNumberFormat="1" applyFont="1" applyFill="1" applyBorder="1" applyAlignment="1">
      <x:alignment vertical="top" wrapText="1"/>
    </x:xf>
    <x:xf numFmtId="0" fontId="14" fillId="5" borderId="8" xfId="0" applyNumberFormat="1" applyFont="1" applyFill="1" applyBorder="1" applyAlignment="1">
      <x:alignment vertical="top" wrapText="1"/>
    </x:xf>
    <x:xf numFmtId="0" fontId="14" fillId="5" borderId="4" xfId="0" applyNumberFormat="1" applyFont="1" applyFill="1" applyBorder="1" applyAlignment="1">
      <x:alignment vertical="top" wrapText="1"/>
    </x:xf>
    <x:xf numFmtId="0" fontId="14" fillId="5" borderId="5" xfId="0" applyNumberFormat="1" applyFont="1" applyFill="1" applyBorder="1" applyAlignment="1">
      <x:alignment vertical="top" wrapText="1"/>
    </x:xf>
    <x:xf numFmtId="0" fontId="14" fillId="5" borderId="6" xfId="0" applyNumberFormat="1" applyFont="1" applyFill="1" applyBorder="1" applyAlignment="1">
      <x:alignment vertical="top" wrapText="1"/>
    </x:xf>
    <x:xf numFmtId="0" fontId="15" fillId="2" borderId="0" xfId="0" applyNumberFormat="1" applyFont="1" applyFill="1" applyBorder="1"/>
    <x:xf numFmtId="0" fontId="10" fillId="2" borderId="0" xfId="0" applyNumberFormat="1" applyFont="1" applyFill="1" applyBorder="1"/>
    <x:xf numFmtId="0" fontId="16" fillId="2" borderId="0" xfId="0" applyNumberFormat="1" applyFont="1" applyFill="1" applyBorder="1"/>
    <x:xf numFmtId="0" fontId="16" fillId="2" borderId="0" xfId="0" applyNumberFormat="1" applyFont="1" applyFill="1" applyBorder="1" applyAlignment="1">
      <x:alignment wrapText="1"/>
    </x:xf>
    <x:xf numFmtId="0" fontId="16" fillId="2" borderId="0" xfId="0" applyNumberFormat="1" applyFont="1" applyFill="1" applyBorder="1" applyAlignment="1">
      <x:alignment horizontal="center" wrapText="1"/>
    </x:xf>
    <x:xf numFmtId="0" fontId="16" fillId="2" borderId="0" xfId="0" applyNumberFormat="1" applyFont="1" applyFill="1" applyBorder="1" applyAlignment="1">
      <x:alignment horizontal="center" vertical="center" wrapText="1"/>
    </x:xf>
    <x:xf numFmtId="0" fontId="17" fillId="0" borderId="0" xfId="0" applyNumberFormat="1" applyFont="1" applyFill="1" applyBorder="1"/>
    <x:xf numFmtId="0" fontId="17" fillId="0" borderId="9" xfId="0" applyNumberFormat="1" applyFont="1" applyFill="1" applyBorder="1"/>
    <x:xf numFmtId="0" fontId="17" fillId="0" borderId="10" xfId="0" applyNumberFormat="1" applyFont="1" applyFill="1" applyBorder="1"/>
    <x:xf numFmtId="0" fontId="17" fillId="0" borderId="11" xfId="0" applyNumberFormat="1" applyFont="1" applyFill="1" applyBorder="1"/>
    <x:xf numFmtId="0" fontId="17" fillId="0" borderId="9" xfId="0" applyNumberFormat="1" applyFont="1" applyFill="1" applyBorder="1" applyAlignment="1">
      <x:alignment wrapText="1"/>
    </x:xf>
    <x:xf numFmtId="0" fontId="17" fillId="0" borderId="10" xfId="0" applyNumberFormat="1" applyFont="1" applyFill="1" applyBorder="1" applyAlignment="1">
      <x:alignment wrapText="1"/>
    </x:xf>
    <x:xf numFmtId="0" fontId="17" fillId="0" borderId="11" xfId="0" applyNumberFormat="1" applyFont="1" applyFill="1" applyBorder="1" applyAlignment="1">
      <x:alignment wrapText="1"/>
    </x:xf>
    <x:xf numFmtId="0" fontId="17" fillId="0" borderId="9" xfId="0" applyNumberFormat="1" applyFont="1" applyFill="1" applyBorder="1" applyAlignment="1">
      <x:alignment vertical="top" wrapText="1"/>
    </x:xf>
    <x:xf numFmtId="0" fontId="17" fillId="0" borderId="10" xfId="0" applyNumberFormat="1" applyFont="1" applyFill="1" applyBorder="1" applyAlignment="1">
      <x:alignment vertical="top" wrapText="1"/>
    </x:xf>
    <x:xf numFmtId="0" fontId="17" fillId="0" borderId="11" xfId="0" applyNumberFormat="1" applyFont="1" applyFill="1" applyBorder="1" applyAlignment="1">
      <x:alignment vertical="top" wrapText="1"/>
    </x:xf>
    <x:xf numFmtId="0" fontId="17" fillId="0" borderId="9" xfId="0" applyNumberFormat="1" applyFont="1" applyFill="1" applyBorder="1" applyAlignment="1">
      <x:alignment horizontal="center" vertical="top" wrapText="1"/>
    </x:xf>
    <x:xf numFmtId="0" fontId="17" fillId="0" borderId="10" xfId="0" applyNumberFormat="1" applyFont="1" applyFill="1" applyBorder="1" applyAlignment="1">
      <x:alignment horizontal="center" vertical="top" wrapText="1"/>
    </x:xf>
    <x:xf numFmtId="0" fontId="17" fillId="0" borderId="1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810b508b484b47" /><Relationship Type="http://schemas.openxmlformats.org/officeDocument/2006/relationships/theme" Target="/xl/theme/theme1.xml" Id="R8c1065c55d204db9" /><Relationship Type="http://schemas.openxmlformats.org/officeDocument/2006/relationships/sharedStrings" Target="/xl/sharedStrings.xml" Id="Rac61808fcb2248fc" /><Relationship Type="http://schemas.openxmlformats.org/officeDocument/2006/relationships/worksheet" Target="/xl/worksheets/sheet1.xml" Id="R9073b201a0e04bc8" /><Relationship Type="http://schemas.openxmlformats.org/officeDocument/2006/relationships/worksheet" Target="/xl/worksheets/sheet2.xml" Id="Rbdd8dc16a11b47a0" /></Relationships>
</file>

<file path=xl/tables/table1.xml><?xml version="1.0" encoding="utf-8"?>
<x:table xmlns:x="http://schemas.openxmlformats.org/spreadsheetml/2006/main" id="1" name="MultiRoute38" displayName="MultiRoute38" ref="A1:R39" headerRowCount="1" totalsRowCount="0" totalsRowShown="0">
  <x:tableColumns count="18">
    <x:tableColumn id="1" name="ID"/>
    <x:tableColumn id="2" name="问题"/>
    <x:tableColumn id="3" name="类别"/>
    <x:tableColumn id="4" name="Skill"/>
    <x:tableColumn id="5" name="工具/检索"/>
    <x:tableColumn id="6" name="版本"/>
    <x:tableColumn id="7" name="Evidence"/>
    <x:tableColumn id="8" name="三路候选"/>
    <x:tableColumn id="9" name="降级源"/>
    <x:tableColumn id="10" name="Codex评分"/>
    <x:tableColumn id="11" name="Codex评语"/>
    <x:tableColumn id="12" name="Codex完整回答"/>
    <x:tableColumn id="13" name="Codex耗时(ms)"/>
    <x:tableColumn id="14" name="DSH评分"/>
    <x:tableColumn id="15" name="DSH评语"/>
    <x:tableColumn id="16" name="DSH完整回答"/>
    <x:tableColumn id="17" name="DSH耗时(ms)"/>
    <x:tableColumn id="18" name="交互请求"/>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9b7dd646a34546"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60" t="str">
        <x:v>UMC 38题 · 三路知识检索 Harness 复测</x:v>
      </x:c>
      <x:c r="B1" s="60"/>
      <x:c r="C1" s="60"/>
      <x:c r="D1" s="60"/>
      <x:c r="E1" s="60"/>
      <x:c r="F1" s="60"/>
      <x:c r="G1" s="60"/>
      <x:c r="H1" s="60"/>
    </x:row>
    <x:row r="2">
      <x:c r="A2" s="60"/>
      <x:c r="B2" s="60"/>
      <x:c r="C2" s="60"/>
      <x:c r="D2" s="60"/>
      <x:c r="E2" s="60"/>
      <x:c r="F2" s="60"/>
      <x:c r="G2" s="60"/>
      <x:c r="H2" s="60"/>
    </x:row>
    <x:row r="3">
      <x:c r="A3" s="61" t="str">
        <x:v>2026-08-26 ｜ dataset version 自动获取 ｜ BM25 + Vector + Graph ｜ RRF + content_hash dedup ｜ candidate_k 30 / top_k 8</x:v>
      </x:c>
      <x:c r="B3" s="61"/>
      <x:c r="C3" s="61"/>
      <x:c r="D3" s="61"/>
      <x:c r="E3" s="61"/>
      <x:c r="F3" s="61"/>
      <x:c r="G3" s="61"/>
      <x:c r="H3" s="61"/>
    </x:row>
    <x:row r="4">
      <x:c r="A4" s="62"/>
      <x:c r="B4" s="62"/>
      <x:c r="C4" s="62"/>
      <x:c r="D4" s="62"/>
      <x:c r="E4" s="62"/>
      <x:c r="F4" s="62"/>
      <x:c r="G4" s="62"/>
      <x:c r="H4" s="62"/>
    </x:row>
    <x:row r="5">
      <x:c r="A5" s="63" t="str">
        <x:v>用例总数</x:v>
      </x:c>
      <x:c r="B5" s="63"/>
      <x:c r="C5" s="63" t="str">
        <x:v>Codex 平均分</x:v>
      </x:c>
      <x:c r="D5" s="63"/>
      <x:c r="E5" s="63" t="str">
        <x:v>DSH 平均分</x:v>
      </x:c>
      <x:c r="F5" s="63"/>
      <x:c r="G5" s="63" t="str">
        <x:v>严重问题（≤2）</x:v>
      </x:c>
      <x:c r="H5" s="63"/>
    </x:row>
    <x:row r="6">
      <x:c r="A6" s="64" t="n">
        <x:f>COUNTA('38题逐条结果'!$A$2:$A$39)</x:f>
        <x:v>38</x:v>
      </x:c>
      <x:c r="B6" s="65"/>
      <x:c r="C6" s="66" t="n">
        <x:f>AVERAGE('38题逐条结果'!$J$2:$J$39)</x:f>
        <x:v>4.578947368421052</x:v>
      </x:c>
      <x:c r="D6" s="66"/>
      <x:c r="E6" s="66" t="n">
        <x:f>AVERAGE('38题逐条结果'!$N$2:$N$39)</x:f>
        <x:v>4.5</x:v>
      </x:c>
      <x:c r="F6" s="66"/>
      <x:c r="G6" s="65" t="n">
        <x:f>COUNTIF('38题逐条结果'!$J$2:$J$39,"&lt;=2")+COUNTIF('38题逐条结果'!$N$2:$N$39,"&lt;=2")</x:f>
        <x:v>2</x:v>
      </x:c>
      <x:c r="H6" s="67"/>
    </x:row>
    <x:row r="7">
      <x:c r="A7" s="68"/>
      <x:c r="B7" s="69"/>
      <x:c r="C7" s="70"/>
      <x:c r="D7" s="70"/>
      <x:c r="E7" s="70"/>
      <x:c r="F7" s="70"/>
      <x:c r="G7" s="69"/>
      <x:c r="H7" s="71"/>
    </x:row>
    <x:row r="8">
      <x:c r="A8" s="62"/>
      <x:c r="B8" s="62"/>
      <x:c r="C8" s="62"/>
      <x:c r="D8" s="62"/>
      <x:c r="E8" s="62"/>
      <x:c r="F8" s="62"/>
      <x:c r="G8" s="62"/>
      <x:c r="H8" s="62"/>
    </x:row>
    <x:row r="9">
      <x:c r="A9" s="72" t="str">
        <x:v>检索与执行结论</x:v>
      </x:c>
      <x:c r="B9" s="72"/>
      <x:c r="C9" s="72"/>
      <x:c r="D9" s="72"/>
      <x:c r="E9" s="72"/>
      <x:c r="F9" s="72"/>
      <x:c r="G9" s="72"/>
      <x:c r="H9" s="72"/>
    </x:row>
    <x:row r="10">
      <x:c r="A10" s="73" t="str">
        <x:v>1. 38/38 最终复测成功，0 个 Harness 错误。
2. 21 个知识问题全部返回 8 条融合 evidence；BM25、Vector、Graph 每路均召回 30 个候选，degraded_sources 为空。
3. 首轮并发曾触发 9 题 502；增加知识检索专用 429/502/503/504 受控重试后逐题复测全部成功。
4. 新数据集版本由 /api/knowledge/datasets 动态获取，不再长期写死 expected_versions。
5. 摄影、Advertiser Permit、续期规则和最新媒体法规的相关性明显改善。
6. 第 37 题存在严重精确引用歧义，必须在提示词和服务端增加法规标识门禁。</x:v>
      </x:c>
      <x:c r="B10" s="74"/>
      <x:c r="C10" s="74"/>
      <x:c r="D10" s="74"/>
      <x:c r="E10" s="74"/>
      <x:c r="F10" s="74"/>
      <x:c r="G10" s="74"/>
      <x:c r="H10" s="75"/>
    </x:row>
    <x:row r="11">
      <x:c r="A11" s="76"/>
      <x:c r="B11" s="77"/>
      <x:c r="C11" s="77"/>
      <x:c r="D11" s="77"/>
      <x:c r="E11" s="77"/>
      <x:c r="F11" s="77"/>
      <x:c r="G11" s="77"/>
      <x:c r="H11" s="78"/>
    </x:row>
    <x:row r="12">
      <x:c r="A12" s="76"/>
      <x:c r="B12" s="77"/>
      <x:c r="C12" s="77"/>
      <x:c r="D12" s="77"/>
      <x:c r="E12" s="77"/>
      <x:c r="F12" s="77"/>
      <x:c r="G12" s="77"/>
      <x:c r="H12" s="78"/>
    </x:row>
    <x:row r="13">
      <x:c r="A13" s="76"/>
      <x:c r="B13" s="77"/>
      <x:c r="C13" s="77"/>
      <x:c r="D13" s="77"/>
      <x:c r="E13" s="77"/>
      <x:c r="F13" s="77"/>
      <x:c r="G13" s="77"/>
      <x:c r="H13" s="78"/>
    </x:row>
    <x:row r="14">
      <x:c r="A14" s="76"/>
      <x:c r="B14" s="77"/>
      <x:c r="C14" s="77"/>
      <x:c r="D14" s="77"/>
      <x:c r="E14" s="77"/>
      <x:c r="F14" s="77"/>
      <x:c r="G14" s="77"/>
      <x:c r="H14" s="78"/>
    </x:row>
    <x:row r="15">
      <x:c r="A15" s="79"/>
      <x:c r="B15" s="80"/>
      <x:c r="C15" s="80"/>
      <x:c r="D15" s="80"/>
      <x:c r="E15" s="80"/>
      <x:c r="F15" s="80"/>
      <x:c r="G15" s="80"/>
      <x:c r="H15" s="81"/>
    </x:row>
    <x:row r="16">
      <x:c r="A16" s="62"/>
      <x:c r="B16" s="62"/>
      <x:c r="C16" s="62"/>
      <x:c r="D16" s="62"/>
      <x:c r="E16" s="62"/>
      <x:c r="F16" s="62"/>
      <x:c r="G16" s="62"/>
      <x:c r="H16" s="62"/>
    </x:row>
    <x:row r="17">
      <x:c r="A17" s="82" t="str">
        <x:v>优先整改</x:v>
      </x:c>
      <x:c r="B17" s="82"/>
      <x:c r="C17" s="82"/>
      <x:c r="D17" s="82"/>
      <x:c r="E17" s="82"/>
      <x:c r="F17" s="82"/>
      <x:c r="G17" s="82"/>
      <x:c r="H17" s="82"/>
    </x:row>
    <x:row r="18">
      <x:c r="A18" s="73" t="str">
        <x:v>P0：Article/Clause 精确引用前必须确认法规标题、编号和日期；存在多个候选时禁止自动选文书。
P1：英文问题输出非英文时进行语言检测和一次受控重试。
P1：fine_payment 组合知识流程与实时 pending violations，而不是只看空账户记录。
P1：费用结果按 service ID、数据版本和生效日期去冲突。
P2：对 502 重试增加日志指标和熔断，批量评测限制知识查询并发。
P2：将 retrieval_channels、candidate_counts 和 request_id 持久化到评测数据。</x:v>
      </x:c>
      <x:c r="B18" s="74"/>
      <x:c r="C18" s="74"/>
      <x:c r="D18" s="74"/>
      <x:c r="E18" s="74"/>
      <x:c r="F18" s="74"/>
      <x:c r="G18" s="74"/>
      <x:c r="H18" s="75"/>
    </x:row>
    <x:row r="19">
      <x:c r="A19" s="76"/>
      <x:c r="B19" s="77"/>
      <x:c r="C19" s="77"/>
      <x:c r="D19" s="77"/>
      <x:c r="E19" s="77"/>
      <x:c r="F19" s="77"/>
      <x:c r="G19" s="77"/>
      <x:c r="H19" s="78"/>
    </x:row>
    <x:row r="20">
      <x:c r="A20" s="76"/>
      <x:c r="B20" s="77"/>
      <x:c r="C20" s="77"/>
      <x:c r="D20" s="77"/>
      <x:c r="E20" s="77"/>
      <x:c r="F20" s="77"/>
      <x:c r="G20" s="77"/>
      <x:c r="H20" s="78"/>
    </x:row>
    <x:row r="21">
      <x:c r="A21" s="76"/>
      <x:c r="B21" s="77"/>
      <x:c r="C21" s="77"/>
      <x:c r="D21" s="77"/>
      <x:c r="E21" s="77"/>
      <x:c r="F21" s="77"/>
      <x:c r="G21" s="77"/>
      <x:c r="H21" s="78"/>
    </x:row>
    <x:row r="22">
      <x:c r="A22" s="76"/>
      <x:c r="B22" s="77"/>
      <x:c r="C22" s="77"/>
      <x:c r="D22" s="77"/>
      <x:c r="E22" s="77"/>
      <x:c r="F22" s="77"/>
      <x:c r="G22" s="77"/>
      <x:c r="H22" s="78"/>
    </x:row>
    <x:row r="23">
      <x:c r="A23" s="79"/>
      <x:c r="B23" s="80"/>
      <x:c r="C23" s="80"/>
      <x:c r="D23" s="80"/>
      <x:c r="E23" s="80"/>
      <x:c r="F23" s="80"/>
      <x:c r="G23" s="80"/>
      <x:c r="H23" s="81"/>
    </x:row>
  </x:sheetData>
  <x:mergeCells>
    <x:mergeCell ref="A1:H2"/>
    <x:mergeCell ref="A3:H3"/>
    <x:mergeCell ref="A5:B5"/>
    <x:mergeCell ref="C5:D5"/>
    <x:mergeCell ref="E5:F5"/>
    <x:mergeCell ref="G5:H5"/>
    <x:mergeCell ref="A6:B7"/>
    <x:mergeCell ref="C6:D7"/>
    <x:mergeCell ref="E6:F7"/>
    <x:mergeCell ref="G6:H7"/>
    <x:mergeCell ref="A9:H9"/>
    <x:mergeCell ref="A10:H15"/>
    <x:mergeCell ref="A17:H17"/>
    <x:mergeCell ref="A18: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34" hidden="0" customWidth="1"/>
    <x:col min="3" max="3" width="13" hidden="0" customWidth="1"/>
    <x:col min="4" max="4" width="22" hidden="0" customWidth="1"/>
    <x:col min="5" max="5" width="31" hidden="0" customWidth="1"/>
    <x:col min="6" max="6" width="28" hidden="0" customWidth="1"/>
    <x:col min="7" max="7" width="10" hidden="0" customWidth="1"/>
    <x:col min="8" max="8" width="28" hidden="0" customWidth="1"/>
    <x:col min="9" max="9" width="12" hidden="0" customWidth="1"/>
    <x:col min="10" max="10" width="10" hidden="0" customWidth="1"/>
    <x:col min="11" max="11" width="38" hidden="0" customWidth="1"/>
    <x:col min="12" max="12" width="60" hidden="0" customWidth="1"/>
    <x:col min="13" max="13" width="13" hidden="0" customWidth="1"/>
    <x:col min="14" max="14" width="10" hidden="0" customWidth="1"/>
    <x:col min="15" max="15" width="38" hidden="0" customWidth="1"/>
    <x:col min="16" max="16" width="60" hidden="0" customWidth="1"/>
    <x:col min="17" max="17" width="13" hidden="0" customWidth="1"/>
    <x:col min="18" max="18" width="42" hidden="0" customWidth="1"/>
  </x:cols>
  <x:sheetData>
    <x:row r="1" ht="34" customHeight="1">
      <x:c r="A1" s="87" t="str">
        <x:v>ID</x:v>
      </x:c>
      <x:c r="B1" s="87" t="str">
        <x:v>问题</x:v>
      </x:c>
      <x:c r="C1" s="87" t="str">
        <x:v>类别</x:v>
      </x:c>
      <x:c r="D1" s="87" t="str">
        <x:v>Skill</x:v>
      </x:c>
      <x:c r="E1" s="87" t="str">
        <x:v>工具/检索</x:v>
      </x:c>
      <x:c r="F1" s="87" t="str">
        <x:v>版本</x:v>
      </x:c>
      <x:c r="G1" s="87" t="str">
        <x:v>Evidence</x:v>
      </x:c>
      <x:c r="H1" s="87" t="str">
        <x:v>三路候选</x:v>
      </x:c>
      <x:c r="I1" s="87" t="str">
        <x:v>降级源</x:v>
      </x:c>
      <x:c r="J1" s="87" t="str">
        <x:v>Codex评分</x:v>
      </x:c>
      <x:c r="K1" s="87" t="str">
        <x:v>Codex评语</x:v>
      </x:c>
      <x:c r="L1" s="87" t="str">
        <x:v>Codex完整回答</x:v>
      </x:c>
      <x:c r="M1" s="87" t="str">
        <x:v>Codex耗时(ms)</x:v>
      </x:c>
      <x:c r="N1" s="87" t="str">
        <x:v>DSH评分</x:v>
      </x:c>
      <x:c r="O1" s="87" t="str">
        <x:v>DSH评语</x:v>
      </x:c>
      <x:c r="P1" s="87" t="str">
        <x:v>DSH完整回答</x:v>
      </x:c>
      <x:c r="Q1" s="87" t="str">
        <x:v>DSH耗时(ms)</x:v>
      </x:c>
      <x:c r="R1" s="87" t="str">
        <x:v>交互请求</x:v>
      </x:c>
    </x:row>
    <x:row r="2" ht="98" customHeight="1">
      <x:c r="A2" s="98" t="n">
        <x:v>1</x:v>
      </x:c>
      <x:c r="B2" s="95" t="str">
        <x:v>My profile is under review. Can I start a new application?</x:v>
      </x:c>
      <x:c r="C2" s="98" t="str">
        <x:v>data_query</x:v>
      </x:c>
      <x:c r="D2" s="98" t="str">
        <x:v>profile_status</x:v>
      </x:c>
      <x:c r="E2" s="98" t="str">
        <x:v>umc.pending-actions + umc.applications</x:v>
      </x:c>
      <x:c r="F2" s="98" t="str">
        <x:v>—</x:v>
      </x:c>
      <x:c r="G2" s="98" t="n">
        <x:v>0</x:v>
      </x:c>
      <x:c r="H2" s="98" t="str">
        <x:v>—</x:v>
      </x:c>
      <x:c r="I2" s="98" t="str">
        <x:v>无</x:v>
      </x:c>
      <x:c r="J2" s="98" t="n">
        <x:v>5</x:v>
      </x:c>
      <x:c r="K2" s="95" t="str">
        <x:v>正确区分 profile 审核与申请状态并请求 profile ID。</x:v>
      </x:c>
      <x:c r="L2" s="95" t="str">
        <x:v>I checked your pending actions and application list.
**Verified data:**
- 7 draft applications (mostly Publication Printing Permit; 1 draft for Radio/TV Broadcasting License)
- 2 applications pending payment (Publication Printing Permit, AED 200 each)
- 0 rejected applications, 0 pending fines, 0 renewals
- Application list page 1 shows: 7 Under Review, 19 Completed, 1 Cancelled, 7 Draft, 2 Pending Payment
  - Total records: 36, page size 10 — remaining pages were not reviewed.
**Note:** The tool result does **not** return your profile status, and the profile fields are empty in the records. So I cannot confirm from this data that your profile is under review, nor whether that would prevent starting a new application.
Existing drafts do **not** prove that a new application can be started while a profile review is pending. To give you a firm answer, I need you to identify the profile you intend to use.
**Interaction Request:**  
Please select the approved profile you want to use, or provide the profile ID, so I can confirm whether a new application can be started.  
Options: **Individual profile** / **Business profile**  
Required field: **profile_id**</x:v>
      </x:c>
      <x:c r="M2" s="98" t="n">
        <x:v>14081</x:v>
      </x:c>
      <x:c r="N2" s="98" t="n">
        <x:v>5</x:v>
      </x:c>
      <x:c r="O2" s="95" t="str">
        <x:v>正确区分 profile 审核与申请状态并请求 profile ID。</x:v>
      </x:c>
      <x:c r="P2" s="95" t="str">
        <x:v>**Answer**  
Not determinable from the live data available. A profile being under review does not automatically confirm you can start a new application — profile status and new-application eligibility are separate checks. Existing drafts do not prove that a new application can be started while the profile is under review.
**Verified evidence**  
- Your account currently has **7 drafts** and **2 pending payments** (Publication Printing Permit – service 203).  
- Application status counts: **7 Under Review**, **19 Completed**, **1 Cancelled**, **7 Draft**, **2 Pending Payment**.  
- The application list page shows 36 total records; only the first 10 are displayed in this response.  
- No profile ID or profile name is populated on the application records shown.
**Limitation**  
The evidence does not include the profile review status itself, so I cannot confirm whether starting a new application is allowed at this stage.
**Next interaction**  
Please select the profile you intend to use (**Individual** or **Business**) or provide the profile ID so I can confirm whether a new application can be started.</x:v>
      </x:c>
      <x:c r="Q2" s="98" t="n">
        <x:v>9648</x:v>
      </x:c>
      <x:c r="R2" s="95" t="str">
        <x:v>请选择要使用的已批准 profile，或提供 profile ID，以确认能否新建申请。
字段：profile_id
选项：Individual profile / Business profile</x:v>
      </x:c>
    </x:row>
    <x:row r="3" ht="98" customHeight="1">
      <x:c r="A3" s="99" t="n">
        <x:v>2</x:v>
      </x:c>
      <x:c r="B3" s="96" t="str">
        <x:v>Which services am I eligible to apply for under my current profile?</x:v>
      </x:c>
      <x:c r="C3" s="99" t="str">
        <x:v>data_query</x:v>
      </x:c>
      <x:c r="D3" s="99" t="str">
        <x:v>service_eligibility</x:v>
      </x:c>
      <x:c r="E3" s="99" t="str">
        <x:v>umc.collected-services + umc.service-categories</x:v>
      </x:c>
      <x:c r="F3" s="99" t="str">
        <x:v>—</x:v>
      </x:c>
      <x:c r="G3" s="99" t="n">
        <x:v>0</x:v>
      </x:c>
      <x:c r="H3" s="99" t="str">
        <x:v>—</x:v>
      </x:c>
      <x:c r="I3" s="99" t="str">
        <x:v>无</x:v>
      </x:c>
      <x:c r="J3" s="99" t="n">
        <x:v>4</x:v>
      </x:c>
      <x:c r="K3" s="96" t="str">
        <x:v>候选服务不等于资格，继续请求 profile 和媒体活动。</x:v>
      </x:c>
      <x:c r="L3" s="96" t="str">
        <x:v>Verified evidence only shows **candidate services** — it does not confirm eligibility for your profile. Eligibility depends on an approved profile, account type, and media activity.
Candidate services returned:
| Service | Category | User type shown |
|---|---|---|
| Permit for Circulating Publications within the Country | Publication &amp; Distribution | Commercial Entity |
| Publication Printing Permit | Publication &amp; Distribution | All User Types |
| Service of Media Materials Entry Through the Country’s Ports For Government | Publication &amp; Distribution | Not populated |
| Ground Photography Permit within the UAE | Filming Permit | All User Types |
| Issuance of a License for Radio and Television Broadcasting Activities | Media Licensing | Commercial Entity |
| Permit to Screen a Cinematic Film at Embassies, Consulates, Cultural Clubs, and Government Institutions | Film &amp; Content Production | Commercial Entity |
Service categories also include Digital &amp; Social Media, Video Games, and Foreign Media &amp; Correspondents, but these are categories only — not proof that you can apply.
To determine which services you are actually eligible for, I need your profile details and media activity.
**Interaction Request**  
- Please select your account/profile type and describe your media business activity; I will then filter applicable services.  
- Fields: `profile_id`, `account_type`, `media_activity`  
- Choices: `Individual`, `Commercial`, `Government`  
- Evidence available: `true`</x:v>
      </x:c>
      <x:c r="M3" s="99" t="n">
        <x:v>8963</x:v>
      </x:c>
      <x:c r="N3" s="99" t="n">
        <x:v>4</x:v>
      </x:c>
      <x:c r="O3" s="96" t="str">
        <x:v>候选服务不等于资格，继续请求 profile 和媒体活动。</x:v>
      </x:c>
      <x:c r="P3" s="96" t="str">
        <x:v>**Answer**  
I can’t confirm which services you are eligible for yet. The returned records are candidate services only, not an eligibility decision. To filter them correctly, I need your **profile/account type** and **media business activity**.
**Verified evidence**  
The UMC customer portal returned these candidate service records:
- **3622** – Permit for Circulating Publications within the Country (candidate user type: Commercial Entity)
- **3624** – Publication Printing Permit (candidate user type: All User Types)
- **3594** – Service of Media Materials Entry Through the Country’s Ports For Government (no user type populated)
- **3565** – Ground Photography Permit within the UAE (candidate user type: All User Types)
- **3507** – Issuance of a License for Radio and Television Broadcasting Activities (candidate user type: Commercial Entity)
- **3603** – Permit to Screen a Cinematic Film at Embassies, Consulates, Cultural Clubs, and Government Institutions (candidate user type: Commercial Entity)
**Limitation**  
The list above is based on collected services only. Eligibility still depends on an approved profile, account type, media activity, and per-service checks. No account type or media activity was provided in this request.
**Next interaction**  
Please provide:
- `profile_id`
- `account_type` (Individual / Commercial / Government)
- `media_activity`
Then I can filter the services you are actually eligible to apply for.</x:v>
      </x:c>
      <x:c r="Q3" s="99" t="n">
        <x:v>9561</x:v>
      </x:c>
      <x:c r="R3" s="96" t="str">
        <x:v>请选择账户/profile 类型并说明媒体业务活动，我将筛选可申请服务。
字段：profile_id, account_type, media_activity
选项：Individual / Commercial / Government</x:v>
      </x:c>
    </x:row>
    <x:row r="4" ht="98" customHeight="1">
      <x:c r="A4" s="99" t="n">
        <x:v>3</x:v>
      </x:c>
      <x:c r="B4" s="96" t="str">
        <x:v>My application is showing as Pending Payment. What should I do next?</x:v>
      </x:c>
      <x:c r="C4" s="99" t="str">
        <x:v>data_query</x:v>
      </x:c>
      <x:c r="D4" s="99" t="str">
        <x:v>application_payment</x:v>
      </x:c>
      <x:c r="E4" s="99" t="str">
        <x:v>umc.applications + umc.payments</x:v>
      </x:c>
      <x:c r="F4" s="99" t="str">
        <x:v>—</x:v>
      </x:c>
      <x:c r="G4" s="99" t="n">
        <x:v>0</x:v>
      </x:c>
      <x:c r="H4" s="99" t="str">
        <x:v>—</x:v>
      </x:c>
      <x:c r="I4" s="99" t="str">
        <x:v>无</x:v>
      </x:c>
      <x:c r="J4" s="99" t="n">
        <x:v>5</x:v>
      </x:c>
      <x:c r="K4" s="96" t="str">
        <x:v>准确定位两笔 Pending Payment；DSH 英文问题返回中文。</x:v>
      </x:c>
      <x:c r="L4" s="96" t="str">
        <x:v>Based on the verified application list, two applications are currently **Pending Payment**:
- **MC-3-203-5647188** – Publication Printing Permit, AED 200
- **MC-3-203-9507405** – Publication Printing Permit, AED 200
The payment records returned are all **Completed**, but none reference either of these pending applications. They correspond to other applications, so they do not clear the pending payment status for yours.
**Next step:** Select the specific Pending Payment application you want to continue with, then complete the payment in the UMC customer portal.
```json
{"required":true,"prompt":"请选择要继续支付的 Pending Payment 申请。","fields":["application_number"],"choices":[],"evidenceAvailable":true}
```</x:v>
      </x:c>
      <x:c r="M4" s="99" t="n">
        <x:v>11574</x:v>
      </x:c>
      <x:c r="N4" s="99" t="n">
        <x:v>4</x:v>
      </x:c>
      <x:c r="O4" s="96" t="str">
        <x:v>准确定位两笔 Pending Payment；DSH 英文问题返回中文。</x:v>
      </x:c>
      <x:c r="P4" s="96" t="str">
        <x:v>## 答案
您的账户中有 **2 个申请处于“Pending Payment（等待付款）”状态**。下一步需要先选择您要支付的申请，因为这两个申请需要分别完成付款。请您先确认要处理哪一笔。
## 已核实的证据
Pending Payment 申请（共 2 个）：
1. **MC-3-203-5647188** — Publication Printing Permit（印刷出版许可）
   - 金额：200 AED
   - 创建时间：2026-08-25
2. **MC-3-203-9507405** — Publication Printing Permit（印刷出版许可）
   - 金额：200 AED
   - 创建时间：2026-08-25
付款记录方面，当前有 3 笔已完成交易，但分别对应以下申请编号，均与上述两个 Pending Payment 申请无关：
- MC-3-204-4807921
- MC-3-301-6387381
- MC-3-301-8596164
## 限制
当前申请列表仅加载了第 1 页（共 36 条、每页 10 条），付款记录也只返回了 3 笔已完成交易。上述两个待付款申请目前没有匹配的已完成付款记录。
## 下一步互动
请选择其中一个申请，并提供对应的 **application_number**（例如 `MC-3-203-5647188` 或 `MC-3-203-9507405`），我将继续为您处理付款。</x:v>
      </x:c>
      <x:c r="Q4" s="99" t="n">
        <x:v>10226</x:v>
      </x:c>
      <x:c r="R4" s="96" t="str">
        <x:v>请选择要继续支付的 Pending Payment 申请。
字段：application_number
选项：</x:v>
      </x:c>
    </x:row>
    <x:row r="5" ht="98" customHeight="1">
      <x:c r="A5" s="99" t="n">
        <x:v>4</x:v>
      </x:c>
      <x:c r="B5" s="96" t="str">
        <x:v>Can you check the latest status of my application?</x:v>
      </x:c>
      <x:c r="C5" s="99" t="str">
        <x:v>data_query</x:v>
      </x:c>
      <x:c r="D5" s="99" t="str">
        <x:v>application_status</x:v>
      </x:c>
      <x:c r="E5" s="99" t="str">
        <x:v>umc.applications</x:v>
      </x:c>
      <x:c r="F5" s="99" t="str">
        <x:v>—</x:v>
      </x:c>
      <x:c r="G5" s="99" t="n">
        <x:v>0</x:v>
      </x:c>
      <x:c r="H5" s="99" t="str">
        <x:v>—</x:v>
      </x:c>
      <x:c r="I5" s="99" t="str">
        <x:v>无</x:v>
      </x:c>
      <x:c r="J5" s="99" t="n">
        <x:v>5</x:v>
      </x:c>
      <x:c r="K5" s="96" t="str">
        <x:v>准确返回最新申请及状态。</x:v>
      </x:c>
      <x:c r="L5" s="96" t="str">
        <x:v>Your latest application is **MC-3-204-4694112** — **Permit for Circulating Publications within the Country**, created on **25 Aug 2026**.
Current status: **Under Review / قيد المراجعة**
If you meant a different application, please share the application number and I’ll check that one for you.</x:v>
      </x:c>
      <x:c r="M5" s="99" t="n">
        <x:v>3564</x:v>
      </x:c>
      <x:c r="N5" s="99" t="n">
        <x:v>5</x:v>
      </x:c>
      <x:c r="O5" s="96" t="str">
        <x:v>准确返回最新申请及状态。</x:v>
      </x:c>
      <x:c r="P5" s="96" t="str">
        <x:v>**Answer**  
Your latest application is **MC-3-204-4694112** — **Under Review** (قيد المراجعة).
**Verified evidence**  
- Application number: **MC-3-204-4694112**  
- Service: Permit for Circulating Publications within the Country (service code 204)  
- Type: New  
- Created: **2026-08-25T17:49:08**  
- Status: **Under Review**  
- Certificate ID: Not populated yet  
- Amount: AED 0  
**Limitation**  
This is the newest application among the records returned on page 1. Your account shows 36 total applications across statuses including Pending Payment, Completed, Draft, and Cancelled. If you meant a different application, please share its application number.
**Next interaction**  
Reply with the application number if you want the status of another application.</x:v>
      </x:c>
      <x:c r="Q5" s="99" t="n">
        <x:v>6947</x:v>
      </x:c>
      <x:c r="R5" s="96" t="str">
        <x:v>无需进一步交互</x:v>
      </x:c>
    </x:row>
    <x:row r="6" ht="98" customHeight="1">
      <x:c r="A6" s="99" t="n">
        <x:v>5</x:v>
      </x:c>
      <x:c r="B6" s="96" t="str">
        <x:v>Where can I download my issued permit?</x:v>
      </x:c>
      <x:c r="C6" s="99" t="str">
        <x:v>api_call</x:v>
      </x:c>
      <x:c r="D6" s="99" t="str">
        <x:v>permit_download</x:v>
      </x:c>
      <x:c r="E6" s="99" t="str">
        <x:v>umc.licenses</x:v>
      </x:c>
      <x:c r="F6" s="99" t="str">
        <x:v>—</x:v>
      </x:c>
      <x:c r="G6" s="99" t="n">
        <x:v>0</x:v>
      </x:c>
      <x:c r="H6" s="99" t="str">
        <x:v>—</x:v>
      </x:c>
      <x:c r="I6" s="99" t="str">
        <x:v>无</x:v>
      </x:c>
      <x:c r="J6" s="99" t="n">
        <x:v>5</x:v>
      </x:c>
      <x:c r="K6" s="96" t="str">
        <x:v>列出可下载许可并要求选择记录。</x:v>
      </x:c>
      <x:c r="L6" s="96" t="str">
        <x:v>You can download your issued permit from the UMC customer portal. The licence service returned **19 permit records total**, and the first page contains **10 downloadable Book Trading Permits**. No download has been initiated yet because you haven't selected a specific permit.
**Downloadable permits on this page:**
| Permit ID | Licence No. | Application No. | Permit Name | Start Date | Download |
|---|---|---|---|---|---|
| 1140 | 7379141 | MC-3-204-3525141 | Book Trading Permit | 2026-08-20 | Available |
| 1141 | 0654367 | MC-3-204-4805741 | Book Trading Permit | 2026-08-21 | Available |
| 1142 | 3863323 | MC-3-204-0272407 | Book Trading Permit | 2026-08-21 | Available |
| 1143 | 5541015 | MC-3-204-0860878 | Book Trading Permit | 2026-08-21 | Available |
| 1144 | 2722685 | MC-3-204-0624891 | Book Trading Permit | 2026-08-21 | Available |
| 1145 | 6433294 | MC-3-204-9502244 | Book Trading Permit | 2026-08-21 | Available |
| 1146 | 7492204 | MC-3-204-4575851 | Book Trading Permit | 2026-08-21 | Available |
| 1147 | 7630599 | MC-3-204-2584486 | Book Trading Permit | 2026-08-21 | Available |
| 1148 | 3638586 | MC-3-204-7042897 | Book Trading Permit | 2026-08-21 | Available |
| 1149 | 1741803 | MC-3-204-2251866 | Book Trading Permit | 2026-08-21 | Available |
These are only the first 10 of 19 records; additional permits, if any, are on later pages.
**To proceed:** select the exact permit you want to download so the portal can generate/provide the PDF. I won't assume which permit you mean.
**Required action:** Please select the issued permit/licence to download (`license_id`).</x:v>
      </x:c>
      <x:c r="M6" s="99" t="n">
        <x:v>11905</x:v>
      </x:c>
      <x:c r="N6" s="99" t="n">
        <x:v>5</x:v>
      </x:c>
      <x:c r="O6" s="96" t="str">
        <x:v>列出可下载许可并要求选择记录。</x:v>
      </x:c>
      <x:c r="P6" s="96" t="str">
        <x:v>**Answer**  
Your issued permits are available in the **UMC customer portal** under Licences / Permits. Select the specific permit you want, then choose **Download**. A download is only triggered after you confirm the selected licence ID.
**Verified evidence**  
The first page shows 10 issued permits out of 19 total. All listed records have `status = 201`, `downloadAvailable = true`, and relate to **“Permit for Circulating Publications within the Country”** (Book Trading Permit).
| ID | Licence No. | Application No. |
|----|-------------|-----------------|
| 1140 | 7379141 | MC-3-204-3525141 |
| 1141 | 0654367 | MC-3-204-4805741 |
| 1142 | 3863323 | MC-3-204-0272407 |
| 1143 | 5541015 | MC-3-204-0860878 |
| 1144 | 2722685 | MC-3-204-0624891 |
| 1145 | 6433294 | MC-3-204-9502244 |
| 1146 | 7492204 | MC-3-204-4575851 |
| 1147 | 7630599 | MC-3-204-2584486 |
| 1148 | 3638586 | MC-3-204-7042897 |
| 1149 | 1741803 | MC-3-204-2251866 |
**Limitation**  
Only the first page of 10 records is shown here; there are 9 more records not listed. Expiry dates are not populated for these records.
**Next interaction**  
Please provide the `license_id` you want to download, e.g. `1140`.</x:v>
      </x:c>
      <x:c r="Q6" s="99" t="n">
        <x:v>8626</x:v>
      </x:c>
      <x:c r="R6" s="96" t="str">
        <x:v>请选择要下载的已签发许可证/permit。
字段：license_id
选项：</x:v>
      </x:c>
    </x:row>
    <x:row r="7" ht="98" customHeight="1">
      <x:c r="A7" s="99" t="n">
        <x:v>6</x:v>
      </x:c>
      <x:c r="B7" s="96" t="str">
        <x:v>Was my latest payment successful, and where can I find the receipt?</x:v>
      </x:c>
      <x:c r="C7" s="99" t="str">
        <x:v>api_call</x:v>
      </x:c>
      <x:c r="D7" s="99" t="str">
        <x:v>payment_receipt</x:v>
      </x:c>
      <x:c r="E7" s="99" t="str">
        <x:v>umc.payments</x:v>
      </x:c>
      <x:c r="F7" s="99" t="str">
        <x:v>—</x:v>
      </x:c>
      <x:c r="G7" s="99" t="n">
        <x:v>0</x:v>
      </x:c>
      <x:c r="H7" s="99" t="str">
        <x:v>—</x:v>
      </x:c>
      <x:c r="I7" s="99" t="str">
        <x:v>无</x:v>
      </x:c>
      <x:c r="J7" s="99" t="n">
        <x:v>5</x:v>
      </x:c>
      <x:c r="K7" s="96" t="str">
        <x:v>准确识别最新成功支付并请求收据确认。</x:v>
      </x:c>
      <x:c r="L7" s="96" t="str">
        <x:v>Yes — your latest payment was successful.
- Transaction number: **202607102125073305**
- Completed: **2026-07-10 21:25:10**
- Status: **Completed**
- Amount: **AED 100**
- Payment method: **Magnati**
- Reference / application: **MC-3-301-8596164**
For the receipt: a receipt link is not exposed in this transaction view. You need to select the transaction in the UMC customer portal and confirm the receipt download.
Interaction Request:
{"required":true,"prompt":"是否下载最新成功交易的收据？","fields":["transaction_number"],"choices":["Download latest receipt","Choose another transaction"],"evidenceAvailable":true}</x:v>
      </x:c>
      <x:c r="M7" s="99" t="n">
        <x:v>7011</x:v>
      </x:c>
      <x:c r="N7" s="99" t="n">
        <x:v>5</x:v>
      </x:c>
      <x:c r="O7" s="96" t="str">
        <x:v>准确识别最新成功支付并请求收据确认。</x:v>
      </x:c>
      <x:c r="P7" s="96" t="str">
        <x:v>**Answer**
Yes — your latest payment was successful.  
The most recent verified transaction was completed on **10 July 2026 at 21:25:10** for **AED 100** via **Magnati**.
- Transaction No: **202607102125073305**
- Reference No: **MC-3-301-8596164**
- Payment Status: **Completed**
- Description: **Application MC-3-301-8596164**
To download the receipt, please select this transaction and confirm the download in the UMC customer portal.
**Verified evidence**
- Live payment records show total **3** transactions, all on one page.
- Latest transaction ID **719**:
  - `transactionNo`: 202607102125073305
  - `referenceNumber`: MC-3-301-8596164
  - `amount`: 100
  - `status`: Completed
  - `completedAt`: 2026-07-10T21:25:10
**Next interaction**
Do you want to download the receipt for transaction **202607102125073305**?
- Click **Download latest receipt**
- Or choose **Another transaction** and provide the transaction number.</x:v>
      </x:c>
      <x:c r="Q7" s="99" t="n">
        <x:v>5512</x:v>
      </x:c>
      <x:c r="R7" s="96" t="str">
        <x:v>是否下载最新成功交易的收据？
字段：transaction_number
选项：Download latest receipt / Choose another transaction</x:v>
      </x:c>
    </x:row>
    <x:row r="8" ht="98" customHeight="1">
      <x:c r="A8" s="99" t="n">
        <x:v>7</x:v>
      </x:c>
      <x:c r="B8" s="96" t="str">
        <x:v>My license is expiring soon. What should I do?</x:v>
      </x:c>
      <x:c r="C8" s="99" t="str">
        <x:v>knowledge</x:v>
      </x:c>
      <x:c r="D8" s="99" t="str">
        <x:v>license_renewal</x:v>
      </x:c>
      <x:c r="E8" s="99" t="str">
        <x:v>BM25 + Vector + Graph / RRF</x:v>
      </x:c>
      <x:c r="F8" s="99" t="str">
        <x:v>mailgraph-6b2f08d763c8fe9a35c83b6d9ee5f628</x:v>
      </x:c>
      <x:c r="G8" s="99" t="n">
        <x:v>8</x:v>
      </x:c>
      <x:c r="H8" s="99" t="str">
        <x:v>bm25=30; vector=30; graph=30</x:v>
      </x:c>
      <x:c r="I8" s="99" t="str">
        <x:v>无</x:v>
      </x:c>
      <x:c r="J8" s="99" t="n">
        <x:v>5</x:v>
      </x:c>
      <x:c r="K8" s="96" t="str">
        <x:v>实时账户动作与三路续期知识结合。</x:v>
      </x:c>
      <x:c r="L8" s="96" t="str">
        <x:v>Based on the verified service data, UMC renewal is handled through the customer portal.
- In **Licenses &amp; Permits**, a licence or permit can show an **Expiring** status with a **Renew** action.
- Renewal fees and requirements are **service-specific** (e.g., Media License, cinema permits); the retrieved data does not give a fixed renewal window or universal eligibility.
What you should do:
1. Sign in to the **UMC customer portal**.
2. Go to **Licenses &amp; Permits**.
3. Select the record you want to renew and choose the renewal action.
4. Follow the portal process for any fees or documents.
To continue, please provide:
- **License/permit type**
- **License number**
- Indicate the option you need: **Renew licence** or **Extend permit**</x:v>
      </x:c>
      <x:c r="M8" s="99" t="n">
        <x:v>17338</x:v>
      </x:c>
      <x:c r="N8" s="99" t="n">
        <x:v>5</x:v>
      </x:c>
      <x:c r="O8" s="96" t="str">
        <x:v>实时账户动作与三路续期知识结合。</x:v>
      </x:c>
      <x:c r="P8" s="96" t="str">
        <x:v>**Answer**  
If your media licence is expiring, start the **renewal** process as soon as possible through the UMC customer portal: open **Licenses &amp; Permits**, find the licence with status **Expiring**, and use the **Renew** action. Note that **renewal and extension are different operations**, so confirm which one applies to your licence type.
**Verified evidence**  
- The Licenses &amp; Permits screen shows licences with an **Expiring** status and a **Renew** action (e.g., a “Social Media Advertising” licence listed as Expiring).  
- The knowledge base includes **renewal fees** for media licences (marked as “续期/renewal”) for various media activities — fees depend on the specific activity.
**Limitation**  
I don’t have your account data or your exact licence type, so I cannot confirm your renewal fee, window, or required documents. Renewal rules are service-specific, and I won’t assume every licence is renewable.
**Next interaction**  
Please provide:  
- **Licence/permit type** (e.g., Media License, Social Media Advertising)  
- **Licence number**  
- Choose one: **Renew licence** or **Extend permit**</x:v>
      </x:c>
      <x:c r="Q8" s="99" t="n">
        <x:v>16311</x:v>
      </x:c>
      <x:c r="R8" s="96" t="str">
        <x:v>请提供需要续期或延期的许可证/permit 类型；账户查询还需要许可证号。
字段：license_or_permit_type, license_number
选项：Renew licence / Extend permit</x:v>
      </x:c>
    </x:row>
    <x:row r="9" ht="98" customHeight="1">
      <x:c r="A9" s="99" t="n">
        <x:v>8</x:v>
      </x:c>
      <x:c r="B9" s="96" t="str">
        <x:v>I received a fine notification. Can I appeal it?</x:v>
      </x:c>
      <x:c r="C9" s="99" t="str">
        <x:v>api_call</x:v>
      </x:c>
      <x:c r="D9" s="99" t="str">
        <x:v>fine_appeal</x:v>
      </x:c>
      <x:c r="E9" s="99" t="str">
        <x:v>umc.pending-violations + umc.appeal-reasons</x:v>
      </x:c>
      <x:c r="F9" s="99" t="str">
        <x:v>—</x:v>
      </x:c>
      <x:c r="G9" s="99" t="n">
        <x:v>0</x:v>
      </x:c>
      <x:c r="H9" s="99" t="str">
        <x:v>—</x:v>
      </x:c>
      <x:c r="I9" s="99" t="str">
        <x:v>无</x:v>
      </x:c>
      <x:c r="J9" s="99" t="n">
        <x:v>5</x:v>
      </x:c>
      <x:c r="K9" s="96" t="str">
        <x:v>限定媒体违规，空记录下不声称已申诉。</x:v>
      </x:c>
      <x:c r="L9" s="96" t="str">
        <x:v>Based on the live check, **no pending media violation record was found** in the UMC customer portal. Since there is no violation record currently available, an appeal cannot be submitted at this moment.
If your fine notification has a **violation number**, please provide it so we can locate the correct record.
The available appeal reasons are:
1. Procedural Error
2. First-Time Violation
3. Evidence Dispute
4. Permit Application in Progress
5. Other
Please select the media violation record and appeal reason, and provide the appeal details. We will confirm with you again before submitting the appeal.</x:v>
      </x:c>
      <x:c r="M9" s="99" t="n">
        <x:v>8155</x:v>
      </x:c>
      <x:c r="N9" s="99" t="n">
        <x:v>5</x:v>
      </x:c>
      <x:c r="O9" s="96" t="str">
        <x:v>限定媒体违规，空记录下不声称已申诉。</x:v>
      </x:c>
      <x:c r="P9" s="96" t="str">
        <x:v>**Answer**  
You can appeal, but right now the UMC customer portal shows **no pending violation records** for your account. An appeal can only be started when a specific violation record is selected, so I cannot submit an appeal based only on the notification you received.
**Verified evidence**  
- Pending violations: **none returned** (empty list).  
- Available appeal reasons in the system:  
  1. Procedural Error  
  2. First-Time Violation  
  3. Evidence Dispute  
  4. Permit Application in Progress  
  5. Other  
**Limitation**  
Because no pending violation is present, I cannot determine which record to appeal or confirm eligibility from the notification alone.
**Next interaction**  
Please provide the **violation number** from your notification, choose an **appeal reason**, and give the **appeal details**. I will re-confirm with you before submitting anything.</x:v>
      </x:c>
      <x:c r="Q9" s="99" t="n">
        <x:v>6961</x:v>
      </x:c>
      <x:c r="R9" s="96" t="str">
        <x:v>请选择媒体违规记录和申诉理由；提交前会再次确认。
字段：violation_number, appeal_reason, appeal_details
选项：</x:v>
      </x:c>
    </x:row>
    <x:row r="10" ht="98" customHeight="1">
      <x:c r="A10" s="99" t="n">
        <x:v>9</x:v>
      </x:c>
      <x:c r="B10" s="96" t="str">
        <x:v>I cannot find the right service for my business. Can you help?</x:v>
      </x:c>
      <x:c r="C10" s="99" t="str">
        <x:v>data_query</x:v>
      </x:c>
      <x:c r="D10" s="99" t="str">
        <x:v>service_discovery</x:v>
      </x:c>
      <x:c r="E10" s="99" t="str">
        <x:v>umc.service-categories + umc.collected-services</x:v>
      </x:c>
      <x:c r="F10" s="99" t="str">
        <x:v>—</x:v>
      </x:c>
      <x:c r="G10" s="99" t="n">
        <x:v>0</x:v>
      </x:c>
      <x:c r="H10" s="99" t="str">
        <x:v>—</x:v>
      </x:c>
      <x:c r="I10" s="99" t="str">
        <x:v>无</x:v>
      </x:c>
      <x:c r="J10" s="99" t="n">
        <x:v>5</x:v>
      </x:c>
      <x:c r="K10" s="96" t="str">
        <x:v>服务发现限定 UMC 媒体业务。</x:v>
      </x:c>
      <x:c r="L10" s="96" t="str">
        <x:v>I can help you find the right UMC service. From the live service catalogue, the main categories currently available are:
- Digital &amp; Social Media
- Media Licensing
- Video Games
- Film &amp; Content Production
- Filming Permit
- Publication &amp; Distribution
- Foreign Media &amp; Correspondents
I don’t yet know what your business does, so I can’t point to a specific service yet. To narrow it down:
**Which type of media activity does your business belong to?**
- Publishing / books
- Advertising content
- Broadcast / production
- Social media
Also confirm your **account type** (e.g. commercial entity or other), because some services are only available to commercial entities.</x:v>
      </x:c>
      <x:c r="M10" s="99" t="n">
        <x:v>8510</x:v>
      </x:c>
      <x:c r="N10" s="99" t="n">
        <x:v>5</x:v>
      </x:c>
      <x:c r="O10" s="96" t="str">
        <x:v>服务发现限定 UMC 媒体业务。</x:v>
      </x:c>
      <x:c r="P10" s="96" t="str">
        <x:v>## Answer
Yes, I can help you locate the correct UMC media service. To do that, I need to know what your business actually does, so we can match it to the right service category.
## Verified evidence
The UMC customer portal currently includes these media service categories:
- Digital &amp; Social Media
- Media Licensing
- Video Games
- Film &amp; Content Production
- Filming Permit
- Publication &amp; Distribution
- Foreign Media &amp; Correspondents
Available services within these categories include, for example:
- Publication Printing Permit
- Permit for Circulating Publications within the Country
- Issuance of a License for Radio and Television Broadcasting Activities
- Ground Photography Permit within the UAE
- Permit to Screen a Cinematic Film at Embassies, Consulates, Cultural Clubs, and Government Institutions
## Limitation
I cannot identify a specific service for you yet because your business activity and account type are not provided.
## Next interaction
Please confirm which media activity best describes your business:
1. **Publishing / books**
2. **Advertising content**
3. **Broadcast / production**
4. **Social media**
Also tell me your **account type** (for example, commercial entity, individual, or government). Once you provide these, I can point you to the relevant UMC service category and service.</x:v>
      </x:c>
      <x:c r="Q10" s="99" t="n">
        <x:v>7060</x:v>
      </x:c>
      <x:c r="R10" s="96" t="str">
        <x:v>你的业务属于哪类媒体活动？
字段：account_type, media_activity
选项：Publishing / books / Advertising content / Broadcast / production / Social media</x:v>
      </x:c>
    </x:row>
    <x:row r="11" ht="98" customHeight="1">
      <x:c r="A11" s="99" t="n">
        <x:v>10</x:v>
      </x:c>
      <x:c r="B11" s="96" t="str">
        <x:v>I have a complaint about a delayed application. How can I submit it?</x:v>
      </x:c>
      <x:c r="C11" s="99" t="str">
        <x:v>api_call</x:v>
      </x:c>
      <x:c r="D11" s="99" t="str">
        <x:v>complaint_create</x:v>
      </x:c>
      <x:c r="E11" s="99" t="str">
        <x:v>umc.enquiry-types + umc.enquiry-applications</x:v>
      </x:c>
      <x:c r="F11" s="99" t="str">
        <x:v>—</x:v>
      </x:c>
      <x:c r="G11" s="99" t="n">
        <x:v>0</x:v>
      </x:c>
      <x:c r="H11" s="99" t="str">
        <x:v>—</x:v>
      </x:c>
      <x:c r="I11" s="99" t="str">
        <x:v>无</x:v>
      </x:c>
      <x:c r="J11" s="99" t="n">
        <x:v>5</x:v>
      </x:c>
      <x:c r="K11" s="96" t="str">
        <x:v>投诉流程和申请数据正确；DSH 英文问题返回中文。</x:v>
      </x:c>
      <x:c r="L11" s="96" t="str">
        <x:v>We can submit this as a **Complaint** enquiry. The returned data confirms your profile has multiple media applications, and the complaint type is available.
To proceed, please:
1. Tell me the **application number** for the delayed application (for example, `MC-3-204-4694112` or another number from your returned application list).
2. Provide the **complaint details** — what happened and what you’d like UMC to review.
Once you provide those, I will show you a preview of the complaint before anything is submitted. No submission will be made until you confirm.
Required from you:
- **Application number**
- **Complaint details**</x:v>
      </x:c>
      <x:c r="M11" s="99" t="n">
        <x:v>10339</x:v>
      </x:c>
      <x:c r="N11" s="99" t="n">
        <x:v>4</x:v>
      </x:c>
      <x:c r="O11" s="96" t="str">
        <x:v>投诉流程和申请数据正确；DSH 英文问题返回中文。</x:v>
      </x:c>
      <x:c r="P11" s="96" t="str">
        <x:v>**Answer**  
可以提交投诉。请从您的申请列表中选择一个延迟的申请，并补充投诉内容。提交前系统会展示预览供您确认，不会直接提交。
**Verified evidence**  
- 可用投诉类型已返回：`Complaint`（ملاحظة）。  
- 已加载您的申请列表（此页面返回 28 条记录，可能有更多页），例如：  
  - MC-3-204-4694112  
  - MC-3-203-5647188  
  - MC-3-204-5276452  
  - MC-3-203-9507405  
  - MC-3-204-4808921  
  - ML-3-7-1234729  
  - MC-3-1007-2405826  
  - MC-3-301-8596164  
  - 以及其他记录。  
**Next interaction**  
请提供：  
1. `application_number`：您认为被延迟的申请编号（可从上方列表中选择）。  
2. `complaint_details`：投诉的具体内容。  
收到后，我会为您展示提交预览。您确认后才会继续提交。</x:v>
      </x:c>
      <x:c r="Q11" s="99" t="n">
        <x:v>10420</x:v>
      </x:c>
      <x:c r="R11" s="96" t="str">
        <x:v>请选择延迟的申请并补充投诉内容；提交前会展示预览。
字段：application_number, complaint_details
选项：</x:v>
      </x:c>
    </x:row>
    <x:row r="12" ht="98" customHeight="1">
      <x:c r="A12" s="99" t="n">
        <x:v>11</x:v>
      </x:c>
      <x:c r="B12" s="96" t="str">
        <x:v>I want to follow up on an enquiry I submitted earlier.</x:v>
      </x:c>
      <x:c r="C12" s="99" t="str">
        <x:v>data_query</x:v>
      </x:c>
      <x:c r="D12" s="99" t="str">
        <x:v>enquiry_followup</x:v>
      </x:c>
      <x:c r="E12" s="99" t="str">
        <x:v>umc.enquiries</x:v>
      </x:c>
      <x:c r="F12" s="99" t="str">
        <x:v>—</x:v>
      </x:c>
      <x:c r="G12" s="99" t="n">
        <x:v>0</x:v>
      </x:c>
      <x:c r="H12" s="99" t="str">
        <x:v>—</x:v>
      </x:c>
      <x:c r="I12" s="99" t="str">
        <x:v>无</x:v>
      </x:c>
      <x:c r="J12" s="99" t="n">
        <x:v>5</x:v>
      </x:c>
      <x:c r="K12" s="96" t="str">
        <x:v>无 enquiry 时请求 reference。</x:v>
      </x:c>
      <x:c r="L12" s="96" t="str">
        <x:v>We checked the UMC customer portal for your enquiries.
- **Result:** No enquiry records were found on the first page (total: 0).
- We cannot confirm submission, status, or follow-up details without an existing enquiry record.
To proceed, please provide an **enquiry reference number** so we can locate the correct record and follow up on it.</x:v>
      </x:c>
      <x:c r="M12" s="99" t="n">
        <x:v>2487</x:v>
      </x:c>
      <x:c r="N12" s="99" t="n">
        <x:v>5</x:v>
      </x:c>
      <x:c r="O12" s="96" t="str">
        <x:v>无 enquiry 时请求 reference。</x:v>
      </x:c>
      <x:c r="P12" s="96" t="str">
        <x:v>**Answer**  
I couldn’t find any existing enquiry on the current lookup — the enquiry list returned no records.  
To follow up, please provide the **enquiry reference number** from your original submission. Follow-up will use that existing enquiry thread, not a new enquiry.
**Verified evidence**  
- Enquiry list query: success, `total: 0`, `items: []` on page 1.
**Next interaction**  
Please provide the `enquiry_reference` (or confirm the account/contact details used when submitting the enquiry) so I can locate the original record.</x:v>
      </x:c>
      <x:c r="Q12" s="99" t="n">
        <x:v>4180</x:v>
      </x:c>
      <x:c r="R12" s="96" t="str">
        <x:v>请选择要跟进的 enquiry，或输入 reference number。
字段：enquiry_reference
选项：</x:v>
      </x:c>
    </x:row>
    <x:row r="13" ht="98" customHeight="1">
      <x:c r="A13" s="99" t="n">
        <x:v>12</x:v>
      </x:c>
      <x:c r="B13" s="96" t="str">
        <x:v>Can I reopen my resolved enquiry?</x:v>
      </x:c>
      <x:c r="C13" s="99" t="str">
        <x:v>api_call</x:v>
      </x:c>
      <x:c r="D13" s="99" t="str">
        <x:v>enquiry_reopen</x:v>
      </x:c>
      <x:c r="E13" s="99" t="str">
        <x:v>umc.enquiries</x:v>
      </x:c>
      <x:c r="F13" s="99" t="str">
        <x:v>—</x:v>
      </x:c>
      <x:c r="G13" s="99" t="n">
        <x:v>0</x:v>
      </x:c>
      <x:c r="H13" s="99" t="str">
        <x:v>—</x:v>
      </x:c>
      <x:c r="I13" s="99" t="str">
        <x:v>无</x:v>
      </x:c>
      <x:c r="J13" s="99" t="n">
        <x:v>5</x:v>
      </x:c>
      <x:c r="K13" s="96" t="str">
        <x:v>不承诺不存在的 reopen 接口。</x:v>
      </x:c>
      <x:c r="L13" s="96" t="str">
        <x:v>Based on the current data, no resolved enquiry was found in the list (total: 0), so there is no record selected to act on.
The system does not support a dedicated “reopen” action. If you locate the resolved enquiry, you can check whether it allows a follow-up message, or create a new enquiry linked to the original reference.
Please select the resolved enquiry. The system does not guarantee reopen; you can check whether you can send a follow-up message or create a linked enquiry.
- Required field: enquiry_reference  
- Choices:  
  - Check message option  
  - Create linked enquiry</x:v>
      </x:c>
      <x:c r="M13" s="99" t="n">
        <x:v>4501</x:v>
      </x:c>
      <x:c r="N13" s="99" t="n">
        <x:v>5</x:v>
      </x:c>
      <x:c r="O13" s="96" t="str">
        <x:v>不承诺不存在的 reopen 接口。</x:v>
      </x:c>
      <x:c r="P13" s="96" t="str">
        <x:v>**Answer**  
Reopen is not guaranteed for a resolved enquiry. Based on the current lookup, no enquiry records were returned, so I cannot identify a record to act on. You may be able to check whether the existing enquiry allows an added message/conversation, or create a new linked enquiry for follow-up.
**Verified evidence**  
- Enquiry search returned success with `total: 0` — no enquiry items are available in the current result set.
**Limitation**  
- No specific `enquiry_reference` was selected or provided.
- The system does not establish a dedicated reopen endpoint, so a reopen action cannot be promised.
**Next interaction**  
Select an existing resolved enquiry reference, then choose one of:
- **Check message option** — see if you can append a message to the existing enquiry.
- **Create linked enquiry** — open a new enquiry linked to the original record.</x:v>
      </x:c>
      <x:c r="Q13" s="99" t="n">
        <x:v>3335</x:v>
      </x:c>
      <x:c r="R13" s="96" t="str">
        <x:v>请选择已解决的 enquiry。系统不保证支持 reopen；可检查能否追加消息或新建关联 enquiry。
字段：enquiry_reference
选项：Check message option / Create linked enquiry</x:v>
      </x:c>
    </x:row>
    <x:row r="14" ht="98" customHeight="1">
      <x:c r="A14" s="99" t="n">
        <x:v>13</x:v>
      </x:c>
      <x:c r="B14" s="96" t="str">
        <x:v>I cannot complete payment. How can I raise a technical enquiry?</x:v>
      </x:c>
      <x:c r="C14" s="99" t="str">
        <x:v>api_call</x:v>
      </x:c>
      <x:c r="D14" s="99" t="str">
        <x:v>technical_enquiry</x:v>
      </x:c>
      <x:c r="E14" s="99" t="str">
        <x:v>umc.enquiry-types + umc.payments</x:v>
      </x:c>
      <x:c r="F14" s="99" t="str">
        <x:v>—</x:v>
      </x:c>
      <x:c r="G14" s="99" t="n">
        <x:v>0</x:v>
      </x:c>
      <x:c r="H14" s="99" t="str">
        <x:v>—</x:v>
      </x:c>
      <x:c r="I14" s="99" t="str">
        <x:v>无</x:v>
      </x:c>
      <x:c r="J14" s="99" t="n">
        <x:v>5</x:v>
      </x:c>
      <x:c r="K14" s="96" t="str">
        <x:v>技术 enquiry 收集交易、错误和时间。</x:v>
      </x:c>
      <x:c r="L14" s="96" t="str">
        <x:v>To raise a technical enquiry about a payment failure:
1. In the UMC customer portal, select the **Inquiry** enquiry type (`استفسار`).
2. Attach or reference the **failed transaction** so the support team can trace it.
3. Include the **exact error message** you saw and the **date/time** of the failure.
From your payment records, I can see three **Completed** Magnati transactions, but no failed one:
- `202607032012456226` – Completed
- `202607051721182167` – Completed
- `202607102125073305` – Completed
Since the failing transaction is not in this list, I need more details before generating the technical enquiry preview.
Please provide:
- **Transaction number** of the failed payment
- **Exact error message** shown
- **Date/time** the failure occurred
No enquiry has been submitted yet.</x:v>
      </x:c>
      <x:c r="M14" s="99" t="n">
        <x:v>6468</x:v>
      </x:c>
      <x:c r="N14" s="99" t="n">
        <x:v>5</x:v>
      </x:c>
      <x:c r="O14" s="96" t="str">
        <x:v>技术 enquiry 收集交易、错误和时间。</x:v>
      </x:c>
      <x:c r="P14" s="96" t="str">
        <x:v>**Answer**  
To raise a technical enquiry for a payment issue, open the **UMC customer portal** and go to the enquiry/complaint screen, then select the relevant enquiry type and attach the failed payment details. I can prepare a technical enquiry preview for you once you provide the **failed transaction number**, the **exact error message**, and the **time it occurred**. No submission will be made without your confirmation.
**Verified evidence**  
- Available enquiry types on the portal: **Inquiry**, **Complaint**, **Notice**, **Suggestion**, **Compliment**.  
- Your recent payments (first page, 3 of 3 records) are all **Completed** via **Magnati**; no failed payment appears in this evidence.
**Limitation**  
No failed transaction appears in your payment records within the retrieved page, so I cannot yet pre-fill a specific failed transaction. You will need to supply the failing transaction number and exact error text.
**Next interaction**  
Please provide:  
1. Transaction number of the failed payment  
2. Exact error message shown  
3. Date/time the error occurred  
After that, I will generate a technical enquiry preview using the UMC enquiry types and ask you to confirm before proceeding.</x:v>
      </x:c>
      <x:c r="Q14" s="99" t="n">
        <x:v>8016</x:v>
      </x:c>
      <x:c r="R14" s="96" t="str">
        <x:v>请提供失败交易和错误信息，以生成技术 enquiry 预览。
字段：transaction_number, error_message, occurred_at
选项：</x:v>
      </x:c>
    </x:row>
    <x:row r="15" ht="98" customHeight="1">
      <x:c r="A15" s="99" t="n">
        <x:v>14</x:v>
      </x:c>
      <x:c r="B15" s="96" t="str">
        <x:v>What are the requirements for a photography permit?</x:v>
      </x:c>
      <x:c r="C15" s="99" t="str">
        <x:v>knowledge</x:v>
      </x:c>
      <x:c r="D15" s="99" t="str">
        <x:v>license_application</x:v>
      </x:c>
      <x:c r="E15" s="99" t="str">
        <x:v>BM25 + Vector + Graph / RRF</x:v>
      </x:c>
      <x:c r="F15" s="99" t="str">
        <x:v>mailgraph-6b2f08d763c8fe9a35c83b6d9ee5f628</x:v>
      </x:c>
      <x:c r="G15" s="99" t="n">
        <x:v>8</x:v>
      </x:c>
      <x:c r="H15" s="99" t="str">
        <x:v>bm25=30; vector=30; graph=30</x:v>
      </x:c>
      <x:c r="I15" s="99" t="str">
        <x:v>无</x:v>
      </x:c>
      <x:c r="J15" s="99" t="n">
        <x:v>5</x:v>
      </x:c>
      <x:c r="K15" s="96" t="str">
        <x:v>摄影许可类型、法律依据和费用证据较完整。</x:v>
      </x:c>
      <x:c r="L15" s="96" t="str">
        <x:v>Under UAE media regulation, a “photography permit” is covered by **Article (13) of Federal Decree-Law No. 55 of 2023 Regulating Media**. Based on the retrieved records, the requirements and fees are:
**Permit types**
- **Ground (land) photography permit** – Ground Filming Permit within the Country
- **Aerial photography permit** – Aerial Filming Permit within the Country
- **Marine photography permit** – Marine Filming Permit within the Country
**Verified requirements**
- The permit is issued by the Competent Authority (UMC) for land, aerial, or marine photography activities.
- Approval of the relevant **texts and content** is part of the permit process.
- The permit is issued **after coordination with the Concerned Authorities**.
- The controls and procedures are set by the **Executive Regulation** of the Media Law; the detailed document checklist is not populated in the records retrieved.
**Fees (verified)**
- Ground Filming Permit within the Country: **500 AED per day**
- Aerial Filming Permit within the Country: **500 AED per day**
- Marine Filming Permit within the Country: **500 AED per day**
- Separate service – permit to bring in filming/photography equipment accompanying journalists and camera crews from outside the country: **500 AED** (do not confuse this with photocopying equipment).
The fee tables show these permits are available for **Individual, Commercial Entity, and Government Entity** user types.
The exact required documents and eligibility steps are not shown in the evidence retrieved; they will be displayed in the UMC customer portal once the specific permit and applicant type are selected.
---
**If you would like to proceed, please confirm the specific permit/service type and the applicant type.**
- **permit_or_service_type**: e.g., Ground Photography Permit / Aerial Photography Permit / Marine Filming Permit
- **account_type**: Individual / Commercial / Government</x:v>
      </x:c>
      <x:c r="M15" s="99" t="n">
        <x:v>24609</x:v>
      </x:c>
      <x:c r="N15" s="99" t="n">
        <x:v>5</x:v>
      </x:c>
      <x:c r="O15" s="96" t="str">
        <x:v>摄影许可类型、法律依据和费用证据较完整。</x:v>
      </x:c>
      <x:c r="P15" s="96" t="str">
        <x:v>**Answer**
“Photography permit” covers several distinct UMC permits in the UAE media framework. Based on retrieved records, the relevant permits are:
- **Ground Photography Permit** (Ground Filming within the country) — **AED 500 per day**
- **Aerial Photography Permit** (Aerial Filming within the country) — **AED 500 per day**
- **Marine / Maritime Filming Permit** — **AED 500 per day**
- **Permit to import filming and photography equipment accompanying journalists / media crews from outside the country** — **AED 500**
Legal basis: Article 13 of Federal Decree-Law No. 55 of 2023 Regulating Media — the Competent Authority issues permits for land, aerial, or marine photography activities, including approval of texts and content, after coordination with Concerned Authorities. Controls and procedures are set by the Executive Regulation.
**Verified evidence**
- Fee table (C1, C3, C6): Ground Photography Permit — Individual 359, Commercial 299, Government 560, Free Zone 1114, all “500 AED每天” (500 AED/day); Aerial Photography Permit — fees 500; Marine Filming Permit — fees 500.
- Cabinet Resolution No. 41 of 2025 on Media Services Fees (C4): Ground Filming Permit (500) for one day; Aerial Filming Permit (500) for one day; Maritime Filming Permit (500) for one day; Permit for bringing in filming and photography equipment accompanying media personnel and filming crews from outside the State (500).
- Article 13, Federal Decree-Law No. 55 of 2023 (C2).
**Limitation**
The retrieved evidence does not include the full applicant eligibility or document checklist (e.g., ID, trade licence, crew list, location/timing details). Those controls and procedures are set by the Executive Regulation and cannot be listed here as verified.
Note: one fee-table row pairs the Chinese label “摄影设备入境许可” with the English label “Photocopying Equipment Permit”, but its actual service description is the permit to import cameras/equipment accompanying journalists and filming crews — it is not a photocopying-equipment permit.
**Next interaction**
To continue, please confirm:
1. **Permit/service type** — Ground, Aerial, Marine filming, or Equipment import for media crews, and
2. **Applicant type** — Individual, Commercial, or Government (free-zone entities also appear in the fee tables).</x:v>
      </x:c>
      <x:c r="Q15" s="99" t="n">
        <x:v>26768</x:v>
      </x:c>
      <x:c r="R15" s="96" t="str">
        <x:v>如果要继续申请，请确认具体许可/服务类型和申请主体。
字段：permit_or_service_type, account_type
选项：Individual / Commercial / Government</x:v>
      </x:c>
    </x:row>
    <x:row r="16" ht="98" customHeight="1">
      <x:c r="A16" s="99" t="n">
        <x:v>15</x:v>
      </x:c>
      <x:c r="B16" s="96" t="str">
        <x:v>What documents are needed for a photography permit?</x:v>
      </x:c>
      <x:c r="C16" s="99" t="str">
        <x:v>knowledge</x:v>
      </x:c>
      <x:c r="D16" s="99" t="str">
        <x:v>license_application</x:v>
      </x:c>
      <x:c r="E16" s="99" t="str">
        <x:v>BM25 + Vector + Graph / RRF</x:v>
      </x:c>
      <x:c r="F16" s="99" t="str">
        <x:v>mailgraph-6b2f08d763c8fe9a35c83b6d9ee5f628</x:v>
      </x:c>
      <x:c r="G16" s="99" t="n">
        <x:v>8</x:v>
      </x:c>
      <x:c r="H16" s="99" t="str">
        <x:v>bm25=30; vector=30; graph=30</x:v>
      </x:c>
      <x:c r="I16" s="99" t="str">
        <x:v>无</x:v>
      </x:c>
      <x:c r="J16" s="99" t="n">
        <x:v>4</x:v>
      </x:c>
      <x:c r="K16" s="96" t="str">
        <x:v>正确承认未检索到完整材料清单。</x:v>
      </x:c>
      <x:c r="L16" s="96" t="str">
        <x:v>Thanks for your question. In the UMC media-services system, "photography permit" covers more than one service, and the document checklist differs by permit type and applicant type.
**Verified fee/licence records from the knowledge base:**
| Permit / Service | Verified fee | Verified applicant types |
|---|---|---|
| Ground Photography Permit (Ground Filming Permit within the Country) | AED 500 per day | Individual, Commercial, Government, Free Zone |
| Aerial Photography Permit (Aerial Filming Permit within the Country) | AED 500 per day | Individual, Commercial, Government, Free Zone |
| Maritime Filming Permit within the State | AED 500 per day | — |
| Permit to Import Equipment and Cameras Accompanying Journalists and Camera Crews from Outside the Country | AED 500 | Individual |
**Regarding required documents:** the retrieved evidence does **not** include a document checklist specific to photography permits. The only document list retrieved (copy of Emirates ID, copy of passport for applicants from outside the country, copy of the material, applicant details) belongs to **local printing and script-approval services**, so I cannot apply it to photography permits without inventing requirements.
**To continue, please confirm the specific permit/service type and the applicant type.**
Fields required:
- **permit_or_service_type** — e.g., Ground Photography, Aerial Photography, Maritime Filming, or Equipment Import Permit
- **account_type** — Individual / Commercial / Government
(Note: verified records also show Free Zone applicants for ground and aerial photography permits.)</x:v>
      </x:c>
      <x:c r="M16" s="99" t="n">
        <x:v>28738</x:v>
      </x:c>
      <x:c r="N16" s="99" t="n">
        <x:v>4</x:v>
      </x:c>
      <x:c r="O16" s="96" t="str">
        <x:v>正确承认未检索到完整材料清单。</x:v>
      </x:c>
      <x:c r="P16" s="96" t="str">
        <x:v>**Answer**  
Based on the retrieved knowledge base, there is **no document checklist for a photography permit** in the evidence. The UAE Media Council / National Media Authority issues photography-related filming permits, but the required documents for those permits were not returned in this search.
**Verified evidence**  
- Permits exist for **Ground Photography/Filming Permit** and **Aerial Photography Permit**, available to Individual, Commercial, Government, and Free Zone applicants (C1, C2).  
- Cabinet Resolution of 2025 on media service fees lists:  
  - Permit for Ground Filming in the State — AED 500 per day  
  - Permit for Aerial Filming in the State — AED 500 per day  
  - Permit for Maritime Filming in the State — AED 500 per day  
  - Permit for bringing in filming and photography equipment accompanying media personnel and filming crews from outside the State — AED 500 (C4)  
- Federal Decree-Law No. 55 of 2023, Article 13, requires a permit from the Competent Authority for **land, aerial, or marine photography activities**, with procedures set by the Executive Regulation (C3).  
**Limitation**  
The evidence does not specify the required documents, eligibility details, or application steps for these photography permits. I cannot provide a document list from other permit types (e.g., printing permits) because each service has its own requirements.
**Next interaction**  
To retrieve the exact document requirements, please confirm:  
1. **Permit/service type** — e.g., Ground Photography Permit, Aerial Photography Permit, Maritime Filming Permit, or Equipment Import Permit for media crews.  
2. **Applicant type** — Individual, Commercial entity, or Government entity.</x:v>
      </x:c>
      <x:c r="Q16" s="99" t="n">
        <x:v>22695</x:v>
      </x:c>
      <x:c r="R16" s="96" t="str">
        <x:v>如果要继续申请，请确认具体许可/服务类型和申请主体。
字段：permit_or_service_type, account_type
选项：Individual / Commercial / Government</x:v>
      </x:c>
    </x:row>
    <x:row r="17" ht="98" customHeight="1">
      <x:c r="A17" s="99" t="n">
        <x:v>16</x:v>
      </x:c>
      <x:c r="B17" s="96" t="str">
        <x:v>Who is eligible for media services?</x:v>
      </x:c>
      <x:c r="C17" s="99" t="str">
        <x:v>knowledge</x:v>
      </x:c>
      <x:c r="D17" s="99" t="str">
        <x:v>service_eligibility_info</x:v>
      </x:c>
      <x:c r="E17" s="99" t="str">
        <x:v>BM25 + Vector + Graph / RRF</x:v>
      </x:c>
      <x:c r="F17" s="99" t="str">
        <x:v>mailgraph-6b2f08d763c8fe9a35c83b6d9ee5f628</x:v>
      </x:c>
      <x:c r="G17" s="99" t="n">
        <x:v>8</x:v>
      </x:c>
      <x:c r="H17" s="99" t="str">
        <x:v>bm25=30; vector=30; graph=30</x:v>
      </x:c>
      <x:c r="I17" s="99" t="str">
        <x:v>无</x:v>
      </x:c>
      <x:c r="J17" s="99" t="n">
        <x:v>5</x:v>
      </x:c>
      <x:c r="K17" s="96" t="str">
        <x:v>服务资格主体和按服务校验边界清楚。</x:v>
      </x:c>
      <x:c r="L17" s="96" t="str">
        <x:v>**What we know from the Media Services Guide and portal rules:**
- For most publication, publishing, and artistic-work services, the stated stakeholders are **federal and local government entities, media and commercially licensed companies, and all segments and individuals of society**.
- However, many services have specific applicant conditions. Examples:
  - **Electronic game circulation permits** — applied for by game distribution companies licensed to import and distribute games.
  - **Film screening, age classification, poster, and trailer permits** — applied for by film distribution companies licensed to import and distribute films.
  - Some services require **prior script approval** or **intellectual property rights from the Ministry of Economy**.
- On the UMC customer portal, each service defines which **profile type** may apply — Individual or Establishment (e.g., Commercial Entity, Government Entity, etc.). The profile must be **verified and approved** before use.
- Some services also require the current profile to hold a **valid Media License with the relevant activity**, or to have **completed a prerequisite permit/approval**.
So eligibility depends on the specific service, your profile type, and your licensed media activities.
**To verify your actual eligibility, please provide:**
- Account/profile type — e.g., Individual, Commercial, Government
- Media business activity — the relevant licensed activity or service you want to apply for</x:v>
      </x:c>
      <x:c r="M17" s="99" t="n">
        <x:v>22003</x:v>
      </x:c>
      <x:c r="N17" s="99" t="n">
        <x:v>5</x:v>
      </x:c>
      <x:c r="O17" s="96" t="str">
        <x:v>服务资格主体和按服务校验边界清楚。</x:v>
      </x:c>
      <x:c r="P17" s="96" t="str">
        <x:v>**Answer**
In general, UMC media services are open to:
- Federal and local government entities
- Media and commercially licensed companies
- All segments and individuals of society
However, eligibility is **service-specific**:
- **Printing, script, and publication permits** — available to government entities, licensed media/commercial companies, and individuals.
- **Video game circulation permits** — applied for by game distribution companies licensed to import and distribute games.
- **Film and cinema permits** — applied for by film distribution companies licensed to import and distribute films.
Many services also have **prerequisites**:
- A valid Media License containing a specific activity (e.g., Activity 44 for importing/distributing cinematic films).
- Completion of a prior service (e.g., the Cinematic Film Age Classification Permit must be completed before the Film Screening &amp; Ticket Sale Permit).
In the UMC customer portal, eligibility is tied to your **profile** — Individual or Establishment (Commercial Entity, Government Entity, Free Zone, Embassy, etc.). A new profile must be **verified and approved** before it can be used to apply.
**Verified evidence**
- Media Services Guide: stakeholders are "Federal and local government entities, media and commercially licensed companies, and all segments and individuals of society."
- Electronic games services: applied for by game distribution companies licensed to import and distribute games.
- Cinema/film services: applied for by film distribution companies licensed with the activity of importing and distributing films.
- Portal configuration: services define which profile types may apply; prerequisites include valid Media License activities and completed prior services.
**Limitation**
This is general eligibility guidance only. Whether you personally qualify cannot be confirmed without checking your account profile, license, and activities.
**Next interaction**
To verify your actual eligibility, please provide:
- **Account/Profile type**: Individual, Commercial, or Government
- **Media business activity** you hold or intend to apply under</x:v>
      </x:c>
      <x:c r="Q17" s="99" t="n">
        <x:v>20056</x:v>
      </x:c>
      <x:c r="R17" s="96" t="str">
        <x:v>如需核验你的实际资格，请提供账户/profile 类型和媒体业务活动。
字段：account_type, media_activity
选项：Individual / Commercial / Government</x:v>
      </x:c>
    </x:row>
    <x:row r="18" ht="98" customHeight="1">
      <x:c r="A18" s="99" t="n">
        <x:v>17</x:v>
      </x:c>
      <x:c r="B18" s="96" t="str">
        <x:v>What are NMA service fees?</x:v>
      </x:c>
      <x:c r="C18" s="99" t="str">
        <x:v>knowledge</x:v>
      </x:c>
      <x:c r="D18" s="99" t="str">
        <x:v>service_fees</x:v>
      </x:c>
      <x:c r="E18" s="99" t="str">
        <x:v>BM25 + Vector + Graph / RRF</x:v>
      </x:c>
      <x:c r="F18" s="99" t="str">
        <x:v>mailgraph-6b2f08d763c8fe9a35c83b6d9ee5f628</x:v>
      </x:c>
      <x:c r="G18" s="99" t="n">
        <x:v>8</x:v>
      </x:c>
      <x:c r="H18" s="99" t="str">
        <x:v>bm25=30; vector=30; graph=30</x:v>
      </x:c>
      <x:c r="I18" s="99" t="str">
        <x:v>无</x:v>
      </x:c>
      <x:c r="J18" s="99" t="n">
        <x:v>4</x:v>
      </x:c>
      <x:c r="K18" s="96" t="str">
        <x:v>返回多类费用，但仍需按 service ID 消除版本冲突。</x:v>
      </x:c>
      <x:c r="L18" s="96" t="str">
        <x:v>NMA/UMC media service fees are service-specific — there isn't one flat list. Verified fee data from the retrieved evidence:
**Mainland commercial media licences (Cabinet Resolution No. 41 of 2025, Table No. 1):**
- Cinema venue licence – Category One (6+ screens): AED 100,000 initial issuance / AED 50,000 per year renewal
- Cinema venue licence – Category Two (1–5 screens): AED 60,000 initial / AED 30,000 per year renewal
- Licence for importing &amp; distributing cinematographic, documentary, and animated films: AED 35,000 initial / AED 18,000 per year
- Licence for producing cinematographic, documentary, and animated films: AED 18,000 initial / AED 8,000 per year
**Free-zone media services (Cabinet Resolution No. 39 of 2016, foreign correspondent services):**
- Temporary press card or filming permit (≤6 months): AED 300
- Annual press card permit for a foreign correspondent: AED 300
- Annual press card permits for 10 foreign correspondents: AED 3,000
- Application for sponsorship of a foreign correspondent: AED 3,000
- Certain free-zone media licences are charged at 10% of the fees collected within the zone
**Portal fee schedule examples (UMC Service Fees by User Type):**
- Open Foreign Media Office: AED 3,000 (issuance and renewal)
- Publishing Printing &amp; Text permits vary by type and condition, e.g.:
  - Permit for printing local media material: AED 200
  - Permit for distribution of local publications: AED 25
  - Play script / theatrical scenario permit: AED 800
  - TV series script permit: AED 500
  - Urgent service fee: AED 500 (government entity example)
Note: fees depend on the specific service, your user/profile type, and whether the service is inside a free zone. The full Cabinet Resolution No. 41 of 2025 fee table is only partially retrieved here. The official reference "Media Service Fees" in the UMC Knowledge Center links to the UAE Legislation page for regulations on these fees.
Please select the specific media service for which you need fee details (field: service_name).</x:v>
      </x:c>
      <x:c r="M18" s="99" t="n">
        <x:v>20752</x:v>
      </x:c>
      <x:c r="N18" s="99" t="n">
        <x:v>4</x:v>
      </x:c>
      <x:c r="O18" s="96" t="str">
        <x:v>返回多类费用，但仍需按 service ID 消除版本冲突。</x:v>
      </x:c>
      <x:c r="P18" s="96" t="str">
        <x:v>**Answer**
NMA (UAE Media Council) service fees are service-specific — there is no single flat fee. Please tell me which media service you want the fee for, and I will retrieve the exact amount.
**Verified evidence**
- The Knowledge Center "Media Service Fees" card points to the official legislation page: https://uaelegislation.gov.ae/en/legislations/2869/regulations (Arabic version: https://uaelegislation.gov.ae/ar/legislations/2869/regulations).
- **Cabinet Resolution No. (41) of 2025** sets mainland media service fees in AED. Examples from the retrieved table:
  - License for Establishing a Cinema Venue – Category One (6+ screens): AED 100,000 initial / AED 50,000 renewal per year.
  - License for Establishing a Cinema Venue – Category Two (1–5 screens): AED 60,000 / AED 30,000 per year.
  - License for Importing and Distributing Cinematographic, Documentary, and Animated Films: AED 35,000 / AED 18,000 per year.
  - License for Producing Cinematographic, Documentary, and Animated Films: AED 18,000 / AED 8,000 per year.
- **Cabinet Resolution No. (39) of 2016** governs free-zone media services: fees are charged at 10% of the value of fees collected within the zones for listed license issuances/renewals (radio/TV broadcasting, newspapers, magazines, reprints). Foreign correspondent fees include:
  - Temporary press card or filming permit (≤6 months): AED 300.
  - Annual press card: AED 300.
  - Annual press cards for 10 correspondents: AED 3,000.
  - Sponsorship application for a foreign correspondent: AED 3,000.
- A by-user-type fee table includes, for example:
  - Open Foreign Media Office (Commercial Entity): AED 3,000.
  - Publishing Printing &amp; Text Permit (Free Zone): AED 200 for local printing permit; AED 25 for local publication distribution; AED 800 for play/theatrical script permit; AED 500 for TV series script permit (some are variable by quantity/conditions).
**Limitation**
The retrieved fee tables are partial; the full current schedule is in the linked legislation. Fees vary by service, user type, free-zone vs mainland status, and whether the charge is initial issuance, renewal, or an add-on (e.g., urgent processing).
**Next interaction**
Please specify the media service name (e.g., "film screening permit", "publication printing permit", "foreign media office license") so I can provide its exact fee.</x:v>
      </x:c>
      <x:c r="Q18" s="99" t="n">
        <x:v>20166</x:v>
      </x:c>
      <x:c r="R18" s="96" t="str">
        <x:v>请选择需要查询费用的具体媒体服务。
字段：service_name
选项：</x:v>
      </x:c>
    </x:row>
    <x:row r="19" ht="98" customHeight="1">
      <x:c r="A19" s="99" t="n">
        <x:v>18</x:v>
      </x:c>
      <x:c r="B19" s="96" t="str">
        <x:v>Tell me about social media advertising license requirements</x:v>
      </x:c>
      <x:c r="C19" s="99" t="str">
        <x:v>knowledge</x:v>
      </x:c>
      <x:c r="D19" s="99" t="str">
        <x:v>license_application</x:v>
      </x:c>
      <x:c r="E19" s="99" t="str">
        <x:v>BM25 + Vector + Graph / RRF</x:v>
      </x:c>
      <x:c r="F19" s="99" t="str">
        <x:v>mailgraph-6b2f08d763c8fe9a35c83b6d9ee5f628</x:v>
      </x:c>
      <x:c r="G19" s="99" t="n">
        <x:v>8</x:v>
      </x:c>
      <x:c r="H19" s="99" t="str">
        <x:v>bm25=30; vector=30; graph=30</x:v>
      </x:c>
      <x:c r="I19" s="99" t="str">
        <x:v>无</x:v>
      </x:c>
      <x:c r="J19" s="99" t="n">
        <x:v>5</x:v>
      </x:c>
      <x:c r="K19" s="96" t="str">
        <x:v>准确映射 Advertiser Permit。</x:v>
      </x:c>
      <x:c r="L19" s="96" t="str">
        <x:v>## Social Media Advertising License — Advertiser Permit (UAE)
Based on the NMA/UMC knowledge base, the relevant permit is the **Advertiser Permit** (Permit to Regulate Advertising Content on Social Media), established under Decision No. (3) of 2025, Federal Decree-Law No. (55) of 2023 on Media Regulation, and related Cabinet Resolutions.
### Who must obtain it
All individuals — citizens, residents, or visitors — who produce advertising content, **with or without compensation**, on social media platforms or any modern technological means **from within the UAE**.
### Exemptions
- An individual promoting a product/service belonging to themselves or a company they own via their **personal account**.
- Individuals under 18 producing educational, sports, cultural, or awareness content, provided it complies with age classification rules.
### Permit types and validity
| Type | Validity |
|---|---|
| Citizen / Resident Advertiser | 1 year, renewable |
| Visiting Advertiser | 3 months, extendable once up to 6 months (must be registered with a licensed, Council-approved advertising/talent agency) |
Permits expire **30 days after the validity period** if not renewed.
### Key conditions for issuance
- At least **18 years old** and fully competent (except the 15–18 age group, which has separate conditions).
- No prior violations of media content standards.
- Good conduct; not convicted of crimes involving dishonor or breach of trust (unless rehabilitated).
- No revoked media license, closed media establishment, or active media ban.
- **No outstanding financial dues** to the Council.
- Hold a **valid commercial license for electronic media activity** from the relevant authority (free zone licenses accepted if issued as a sole establishment; minors may operate under a guardian's license).
- Complete the Council's awareness/training programs.
### Conditions for applicants aged 15–18
- Minimum age 15; must be medically fit.
- Permit must be for commercial purposes; ads must be age-appropriate.
- Prohibited from promoting products/services harmful to children.
- Guardian must oversee compliance per the "Wadeema" Child Rights Law.
### Approved commercial activities (examples)
Advertising services via websites, social media account management, marketing operations management, e-commerce via social media, content creation/blogging — under license types such as Sole Establishment/Freelance, Single Person LLC, or Limited Liability Company.
### Application steps
1. Access the UAE Media Council website: https://eservices.uaemc.gov.ae
2. Fill the application form and attach required documents.
3. Await initial approval.
4. Receive the permit electronically.
### Decision timeframe
- Council reviews the application within **3 working days** of complete submission.
- Applicants notified within 3 working days of issuance.
- If no decision within **15 working days**, the application is deemed rejected.
### Advertiser obligations (summary)
- Display the **permit number clearly** on all social media accounts.
- Publish ads only through the registered account; no third-party use.
- Obtain prior approval for specialized ads (real estate, healthcare, finance, education, food, etc.).
- Submit an annual report of published ads upon renewal or Council request.
- Register for taxation and obtain a Tax Registration Number.
- Avoid dealing with unauthorized visiting advertisers.
### Fees
- **Issuing the Advertiser Permit: Free** (per the guide).
- Renewal (from 4th year onward) and visiting-permit fees are not populated in the retrieved evidence.
---
To proceed with your application, please confirm:
- **Permit/service type:** Advertiser Permit or another media license?
- **Applicant type:** Individual, Commercial (company/establishment), or Government?</x:v>
      </x:c>
      <x:c r="M19" s="99" t="n">
        <x:v>29005</x:v>
      </x:c>
      <x:c r="N19" s="99" t="n">
        <x:v>5</x:v>
      </x:c>
      <x:c r="O19" s="96" t="str">
        <x:v>准确映射 Advertiser Permit。</x:v>
      </x:c>
      <x:c r="P19" s="96" t="str">
        <x:v>## Answer
The relevant UAE service is the **Advertiser Permit**, issued by the National Media Authority (UAE Media Council) to regulate advertising content on social media.
**Who needs it**
- All individuals (citizens, residents, visitors) who produce advertising content on social media for any product, service, event, or activity within the UAE — with or without compensation.
**Exemptions**
- Promoting your own product/service, or a company you own, through your personal account.
- Individuals under 18 producing educational, sports, cultural, or awareness content, provided the activity complies with age classification rules.
**Key conditions**
- At least 18 years old and fully competent (some age groups may be exempt under child-labour rules).
- No prior violation of media content standards.
- Good conduct; no criminal conviction for dishonor/breach of trust unless rehabilitated.
- No revoked media licence, closed media establishment, or media ban unless the ban reason has been removed.
- No outstanding financial dues to the Council.
- Valid commercial licence for electronic media activity from the relevant authority (minors may operate under a guardian's licence).
- Completion of the Council's awareness/training programmes where required.
**Applicants aged 15–18**
- Minimum age 15; medically fit; commercial purpose only; age-appropriate ads; no promotion of products/services harmful to children; must comply with child protection laws.
**Validity**
- Citizens/residents: 1 year, renewable.
- Visitors: 3 months, extendable once up to 6 months (registration through a licensed, Council-approved advertising/talent agency).
**Fee**
- Issuing the Advertiser Permit: **free** (per the retrieved NMA guide). Renewal/visitor fee figures were not fully populated in the retrieved excerpt.
**Application steps**
1. Access the UAE Media Council e-services portal: `https://eservices.uaemc.gov.ae`.
2. Fill in the application form and attach required documents (for minors, the guardian oversees the application under the Wadeema Child Rights Law).
3. Await initial approval.
4. Receive the permit electronically.
**Timeline**
- Decision within **3 working days** after all documents are submitted.
- If no decision within **15 working days**, the application is deemed rejected.
- Permits expire **30 days** after the validity period if not renewed.
**Key obligations of permit holders**
- Display the permit number clearly on all social media accounts.
- Advertise only through the registered account; no third-party use.
- Obtain prior approval for specialised ads (e.g., real estate, healthcare, finance, education, food).
- No false/misleading content; ads must be clear and not harm public interest.
- Submit an annual report of published ads when renewing or upon request.
- Register for taxation and obtain a Tax Registration Number.
**Non-compliance**
- Fines apply, e.g., AED 40,000–50,000 for providing advertising/media content through social media without authorisation; AED 10,000–20,000 for continuing after authorisation expires; AED 10,000 for non-compliance with Decision No. (9) of 2024 on the advertiser permit.
## Verified evidence
- NMA Advertiser Permit Guide (C1, C2): scope, conditions, exemptions, validity, fees, steps, obligations.
- NMA fee/service table (C3): free-zone services including visiting advertiser permit (AED 500) and legal-entity media licences for electronic/digital advertising platforms (AED 5,000) (C3, C5, C6).
- Violations schedule (C4): fines for unauthorised social media advertising content.
## Limitation
Renewal fee amounts, the call-centre number, and the full document checklist were not fully populated in the retrieved evidence. Confirm current details in the UMC customer portal before applying.
## Next interaction
To proceed, please confirm the service/permit type and applicant type:
- **Permit/service type**: e.g., Advertiser Permit, Visiting Advertiser Permit, or Media Licence for a legal entity operating a digital advertising platform.
- **Applicant type**: Individual, Commercial, or Government.</x:v>
      </x:c>
      <x:c r="Q19" s="99" t="n">
        <x:v>29139</x:v>
      </x:c>
      <x:c r="R19" s="96" t="str">
        <x:v>如果要继续申请，请确认具体许可/服务类型和申请主体。
字段：permit_or_service_type, account_type
选项：Individual / Commercial / Government</x:v>
      </x:c>
    </x:row>
    <x:row r="20" ht="98" customHeight="1">
      <x:c r="A20" s="99" t="n">
        <x:v>19</x:v>
      </x:c>
      <x:c r="B20" s="96" t="str">
        <x:v>License Application Process</x:v>
      </x:c>
      <x:c r="C20" s="99" t="str">
        <x:v>knowledge</x:v>
      </x:c>
      <x:c r="D20" s="99" t="str">
        <x:v>license_application</x:v>
      </x:c>
      <x:c r="E20" s="99" t="str">
        <x:v>BM25 + Vector + Graph / RRF</x:v>
      </x:c>
      <x:c r="F20" s="99" t="str">
        <x:v>mailgraph-6b2f08d763c8fe9a35c83b6d9ee5f628</x:v>
      </x:c>
      <x:c r="G20" s="99" t="n">
        <x:v>8</x:v>
      </x:c>
      <x:c r="H20" s="99" t="str">
        <x:v>bm25=30; vector=30; graph=30</x:v>
      </x:c>
      <x:c r="I20" s="99" t="str">
        <x:v>无</x:v>
      </x:c>
      <x:c r="J20" s="99" t="n">
        <x:v>4</x:v>
      </x:c>
      <x:c r="K20" s="96" t="str">
        <x:v>Codex 保持服务差异；DSH 命中 TDRA 等偏题材料。</x:v>
      </x:c>
      <x:c r="L20" s="96" t="str">
        <x:v>Your question "License Application Process" is too broad for a single set of requirements — the UMC portal has several distinct licensing/permit services, each with its own documents, fees, and steps.
**What the retrieved data confirms**
Licensing service families found in the system:
| Service | Application codes | Notes |
|---|---|---|
| Media License (media institution) | New 901 / Renew 902 / Add activity 903 / Cancel 904 | Activity-level licensing |
| Radio &amp; TV Broadcasting License | New 801 / Renew 802 / Cancel 806 | — |
| Newspaper &amp; Magazine License | New 1201 / Renew 1204 / Cancel 1202 | — |
| Social Media Content Permit (individual) | New 8007 / Renew 80021 | For individuals providing advertising/media content on social media |
Two permit services with verified requirements from the Media Services Guide:
- **Local Printing Permit** — Fee: AED 2,000; completion: 5 working days; documents: copy of Emirates ID, copy of passport (if outside the country), copy of the material, applicant details.
- **TV Drama Script Approval Permit (Series)** — Fee: AED 800; completion: 5 working days; documents: copy of Emirates ID, copy of passport (if outside the country), copy of the material, applicant details.
Please note: the retrieved result also includes a TDRA Trust Services license (electronic transactions/trust services, AED 5,000,000 financial requirement). This is **not** a UMC media license and does not apply to your media licensing request.
**What is not yet known**
- Your exact permit/licence type and the media activity involved.
- Whether the applicant is an individual, a commercial establishment, or a government entity.
- The specific required documents, fees, and application steps for that exact service — these vary by permit family.
---
To continue, please confirm:
1. **Permit or service type** — e.g., Media License (media institution), Radio &amp; TV Broadcasting License, Newspaper &amp; Magazine License, Social Media Content Permit for individuals, Local Printing Permit, or Script Approval.
2. **Account type** — Individual / Commercial / Government.</x:v>
      </x:c>
      <x:c r="M20" s="99" t="n">
        <x:v>19949</x:v>
      </x:c>
      <x:c r="N20" s="99" t="n">
        <x:v>3</x:v>
      </x:c>
      <x:c r="O20" s="96" t="str">
        <x:v>Codex 保持服务差异；DSH 命中 TDRA 等偏题材料。</x:v>
      </x:c>
      <x:c r="P20" s="96" t="str">
        <x:v>**Answer**
Your request is too generic for me to start a license application. The retrieved evidence does **not** contain a unified "license application process" for UAE media licences. It mainly returned TDRA trust-services licensing provisions (out of scope for media licensing) and internal system documentation.
What the evidence does confirm is that the UMC portal distinguishes between several media licence services, including:
- **Media License** – new (901), renewal (902), add activity (903)
- **Radio &amp; TV Broadcasting License** – new (801), renewal (802)
- **Newspaper &amp; Magazine License** – new (1201), renewal (1204)
- **Social media / personal content permit** – new (8007), renewal (80021)
To proceed, I need you to confirm the exact service and the applicant type so I can pull the correct requirements, documents, fees and steps for that specific permit.
**Verified evidence**
- C3/C4: Internal report specification showing the service codes above; these identify available licence/renewal service types in the system, but not the official application procedure.
- C1/C2: TDRA trust-services licence provisions — returned in retrieval but **not** applicable to UAE media licensing.
**Limitation**
No official UMC media licence application steps, fee tables, or document lists for a specific permit were returned in this evidence set. I will not infer them.
**Next interaction**
Please confirm:
1. **Permit/service type** – e.g. Media License (new/renewal), Radio &amp; TV Broadcasting License, Newspaper &amp; Magazine License, social media content permit, or another service.
2. **Applicant type** – Individual / Commercial / Government.
Once you provide these, I will retrieve the applicable application process for that exact service.</x:v>
      </x:c>
      <x:c r="Q20" s="99" t="n">
        <x:v>19011</x:v>
      </x:c>
      <x:c r="R20" s="96" t="str">
        <x:v>如果要继续申请，请确认具体许可/服务类型和申请主体。
字段：permit_or_service_type, account_type
选项：Individual / Commercial / Government</x:v>
      </x:c>
    </x:row>
    <x:row r="21" ht="98" customHeight="1">
      <x:c r="A21" s="99" t="n">
        <x:v>20</x:v>
      </x:c>
      <x:c r="B21" s="96" t="str">
        <x:v>How can I apply for a photography permit?</x:v>
      </x:c>
      <x:c r="C21" s="99" t="str">
        <x:v>knowledge</x:v>
      </x:c>
      <x:c r="D21" s="99" t="str">
        <x:v>license_application</x:v>
      </x:c>
      <x:c r="E21" s="99" t="str">
        <x:v>BM25 + Vector + Graph / RRF</x:v>
      </x:c>
      <x:c r="F21" s="99" t="str">
        <x:v>mailgraph-6b2f08d763c8fe9a35c83b6d9ee5f628</x:v>
      </x:c>
      <x:c r="G21" s="99" t="n">
        <x:v>8</x:v>
      </x:c>
      <x:c r="H21" s="99" t="str">
        <x:v>bm25=30; vector=30; graph=30</x:v>
      </x:c>
      <x:c r="I21" s="99" t="str">
        <x:v>无</x:v>
      </x:c>
      <x:c r="J21" s="99" t="n">
        <x:v>5</x:v>
      </x:c>
      <x:c r="K21" s="96" t="str">
        <x:v>摄影许可申请类型与法律依据准确。</x:v>
      </x:c>
      <x:c r="L21" s="96" t="str">
        <x:v>Based on retrieved records, "photography permit" covers several separate UMC media permits, so the requirements differ by type. Under Federal Decree-Law No. 55 of 2023 (Article 13), the competent authority issues permits for land, aerial, or marine photography/filming activities, including approval of texts and content, after coordination with concerned authorities.
From the retrieved fee/service tables, the available photography-related permits are:
- **Ground Photography Permit (Ground Filming Permit within the Country)** – AED 500 per day
- **Aerial Photography Permit (Aerial Filming Permit within the Country)** – AED 500 per day
- **Marine Filming Permit within the Country** – AED 500 per day
- **Permit to Import Equipment and Cameras Accompanying Journalists/Camera Crews** – AED 500
The records show these can be applied for by Individuals, Commercial Entities, Government Entities, and Free-Zone Entities depending on the permit. The evidence does not include the full document checklist or the step-by-step portal flow; the controls and procedures are set by the Executive Regulation, and the UMC customer portal will show the exact documents and steps once the permit and applicant type are selected.
To proceed: please confirm the specific permit/service type and the applying entity.
- Permit/service type: e.g., Ground Photography Permit, Aerial Photography Permit, Marine Filming Permit, or Equipment Import Permit
- Applicant type: Individual, Commercial, Government, or Free Zone</x:v>
      </x:c>
      <x:c r="M21" s="99" t="n">
        <x:v>17704</x:v>
      </x:c>
      <x:c r="N21" s="99" t="n">
        <x:v>5</x:v>
      </x:c>
      <x:c r="O21" s="96" t="str">
        <x:v>摄影许可申请类型与法律依据准确。</x:v>
      </x:c>
      <x:c r="P21" s="96" t="str">
        <x:v>**Answer**  
For a photography permit, UMC issues permits for **ground, aerial, or marine photography/filming** under Federal Decree-Law No. 55 of 2023 Regulating Media, Article 13. The retrieved official service fees list each of these filming permits at **500 AED per day**. To proceed and get the exact application requirements, I need to confirm which photography permit you need and the applicant type.
**Verified evidence**  
- Federal Decree-Law 55/2023, Article 13: permits for land, aerial, and marine photography activities are issued by the Competent Authority, with controls set by the Executive Regulation.  
- Cabinet Resolution 41/2025, Media Services Fees:  
  - Ground Filming Permit – 500 AED per day  
  - Aerial Filming Permit – 500 AED per day  
  - Maritime Filming Permit – 500 AED per day  
**Limitation**  
The retrieved evidence does not include the step-by-step application flow or required documents for the photography permit. Also, this is separate from services such as the **Photocopying Equipment Permit** or **foreign correspondent permits**.
**Next interaction**  
Please confirm:  
1. **Permit/service type** – Ground Photography Permit, Aerial Photography Permit, or Marine Filming Permit.  
2. **Account type** – Individual, Commercial, or Government.</x:v>
      </x:c>
      <x:c r="Q21" s="99" t="n">
        <x:v>17423</x:v>
      </x:c>
      <x:c r="R21" s="96" t="str">
        <x:v>如果要继续申请，请确认具体许可/服务类型和申请主体。
字段：permit_or_service_type, account_type
选项：Individual / Commercial / Government</x:v>
      </x:c>
    </x:row>
    <x:row r="22" ht="98" customHeight="1">
      <x:c r="A22" s="99" t="n">
        <x:v>21</x:v>
      </x:c>
      <x:c r="B22" s="96" t="str">
        <x:v>I want to get a new permit</x:v>
      </x:c>
      <x:c r="C22" s="99" t="str">
        <x:v>knowledge</x:v>
      </x:c>
      <x:c r="D22" s="99" t="str">
        <x:v>license_application</x:v>
      </x:c>
      <x:c r="E22" s="99" t="str">
        <x:v>BM25 + Vector + Graph / RRF</x:v>
      </x:c>
      <x:c r="F22" s="99" t="str">
        <x:v>mailgraph-6b2f08d763c8fe9a35c83b6d9ee5f628</x:v>
      </x:c>
      <x:c r="G22" s="99" t="n">
        <x:v>8</x:v>
      </x:c>
      <x:c r="H22" s="99" t="str">
        <x:v>bm25=30; vector=30; graph=30</x:v>
      </x:c>
      <x:c r="I22" s="99" t="str">
        <x:v>无</x:v>
      </x:c>
      <x:c r="J22" s="99" t="n">
        <x:v>5</x:v>
      </x:c>
      <x:c r="K22" s="96" t="str">
        <x:v>模糊 permit 请求下正确追问。</x:v>
      </x:c>
      <x:c r="L22" s="96" t="str">
        <x:v>There are many different permits under UMC’s media-regulation scope, and each has its own conditions, documents, fees, and applicant type. A generic “new permit” request can’t be processed until the specific permit/service and the applicant are identified.
From the retrieved records, permits include, for example:
- Social Media Advertiser Permit — Individual / Visiting Individual
- Local Printing Permit
- Foreign Printed Material Permit
- Marine Filming Permit
- Aerial Photography Permit
- Foreign Correspondent Permit / Press Card
- Film Screening, Age Rating, Poster, and Trailer Permits
General note: before applying through the UMC customer portal, the account normally needs a valid verified Personal Profile. If you already have an in-progress application for the same service—or an existing Media License for a Media License service—the system may prevent a duplicate new application.
To proceed, please confirm:
1. Which permit or service type do you want to apply for?
2. Who is the applicant?
3. What media activity will it cover?
Interaction Request:
```json
{
  "required": true,
  "prompt": "如果要继续申请，请确认具体许可/服务类型和申请主体。",
  "fields": ["permit_or_service_type", "account_type"],
  "choices": ["Individual", "Commercial", "Government"],
  "evidenceAvailable": true
}
```</x:v>
      </x:c>
      <x:c r="M22" s="99" t="n">
        <x:v>16982</x:v>
      </x:c>
      <x:c r="N22" s="99" t="n">
        <x:v>5</x:v>
      </x:c>
      <x:c r="O22" s="96" t="str">
        <x:v>模糊 permit 请求下正确追问。</x:v>
      </x:c>
      <x:c r="P22" s="96" t="str">
        <x:v>Answer  
To proceed, please confirm the specific UMC permit/service type and the applicant type. The retrieval results show many distinct permits (e.g., social media advertiser, local printing, foreign printed material, film screening/trailer/poster, age rating, aerial/marine filming, foreign correspondent, press card, book circulation, etc.), and each has different requirements, documents, fees, and steps.
Verified evidence  
- A verified Personal Profile is required before applying for any UMC service.  
- You cannot submit a new application for the same service if one is already in progress.  
- If you already have a valid Media License, a new Media License application is blocked.  
- If your intended permit is the Social Media Advertiser Permit, the retrieved guide references Decision No. (3) of 2025, Federal Decree-Law No. (55) of 2023; it is valid for one year for citizens/residents and three months (extendable up to six months) for visiting advertisers. Conditions include being at least 18, no prior media content violations, no outstanding dues to the Council, a valid commercial licence for electronic media activity, and completing the Council’s awareness/training programmes.
Limitation  
The current evidence does not yet identify the specific permit you want, your applicant type, or whether your account has a verified Personal Profile. Therefore no exact fee, document list, or processing time can be provided yet.
Next interaction  
Please reply with:  
1. Permit/service name or media activity.  
2. Applicant type: Individual, Commercial, or Government.</x:v>
      </x:c>
      <x:c r="Q22" s="99" t="n">
        <x:v>22001</x:v>
      </x:c>
      <x:c r="R22" s="96" t="str">
        <x:v>如果要继续申请，请确认具体许可/服务类型和申请主体。
字段：permit_or_service_type, account_type
选项：Individual / Commercial / Government</x:v>
      </x:c>
    </x:row>
    <x:row r="23" ht="98" customHeight="1">
      <x:c r="A23" s="99" t="n">
        <x:v>22</x:v>
      </x:c>
      <x:c r="B23" s="96" t="str">
        <x:v>Apply for a social media advertising license</x:v>
      </x:c>
      <x:c r="C23" s="99" t="str">
        <x:v>knowledge</x:v>
      </x:c>
      <x:c r="D23" s="99" t="str">
        <x:v>license_application</x:v>
      </x:c>
      <x:c r="E23" s="99" t="str">
        <x:v>BM25 + Vector + Graph / RRF</x:v>
      </x:c>
      <x:c r="F23" s="99" t="str">
        <x:v>mailgraph-6b2f08d763c8fe9a35c83b6d9ee5f628</x:v>
      </x:c>
      <x:c r="G23" s="99" t="n">
        <x:v>8</x:v>
      </x:c>
      <x:c r="H23" s="99" t="str">
        <x:v>bm25=30; vector=30; graph=30</x:v>
      </x:c>
      <x:c r="I23" s="99" t="str">
        <x:v>无</x:v>
      </x:c>
      <x:c r="J23" s="99" t="n">
        <x:v>5</x:v>
      </x:c>
      <x:c r="K23" s="96" t="str">
        <x:v>Advertiser Permit 申请意图准确。</x:v>
      </x:c>
      <x:c r="L23" s="96" t="str">
        <x:v>This is the **Advertiser Permit** (Permit to Regulate Advertising Content on Social Media), issued under UAE Media Council Decision No. (3) of 2025. Based on the retrieved NMA guide and licence table:
**Who must apply**
- All individuals – citizens, residents, or visitors – publishing advertising content on social media for any product, service, event, or activity in the UAE, with or without compensation.
- Minors aged 15–18 may apply for commercial purposes, with the guardian overseeing compliance.
**Exemptions**
- Promoting your own product/service or your own company via your personal account.
- Under-18s producing educational, sports, cultural, or awareness content that complies with age-classification rules.
**Conditions (citizen/resident)**
- At least 18 years old (or 15–18 under the minor conditions) and fully competent.
- Good conduct; no prior conviction for crimes involving dishonor or breach of trust, unless rehabilitated.
- No previous revocation of a licence, closure of a media establishment, or ban from media activity (unless the ban reasons have been removed).
- No outstanding financial dues to the Council.
- Valid commercial licence for electronic media activity from the relevant authority (a free-zone sole establishment licence is accepted).
- Successful completion of the Council’s awareness/training programmes.
- Any other conditions set by the Council.
**Validity**
- Citizens/residents: 1 year, renewable.
- Visiting advertiser: 3 months, extendable once up to a total of 6 months, and must be contracted through a licensed, Council-approved advertising or talent agency.
**Fees**
- Issuing the Advertiser Permit: **Free** (first 3 years per the guide). Renewal fee figures were not clearly populated in the retrieved evidence.
**Steps**
1. Go to the UAE Media Council eServices portal: https://eservices.uaemc.gov.ae
2. Fill in the application form and attach the required documents.
3. Guardians must oversee the application for minors.
4. Await initial approval (decision within 3 working days; if no decision within 15 working days, the application is deemed rejected).
5. Receive the permit electronically.
**Key obligations**
- Display the permit number clearly on all social media accounts.
- Publish ads only through the account registered with the Council; do not allow third parties to use it.
- Obtain prior approval for specialized ads (real estate, healthcare, finance, education, food, etc.).
- Register for taxation and obtain a Tax Registration Number.
- Submit an annual report of published ads when renewing or upon Council request.
**Note:** Operating media/advertising activity without a Council licence or permit carries a fine of **AED 40,000** (per the violation schedule).
To continue the application, please confirm the following:
- Permit/service type: social media advertising (Advertiser Permit) – please confirm
- Applicant type: Individual / Commercial / Government</x:v>
      </x:c>
      <x:c r="M23" s="99" t="n">
        <x:v>22782</x:v>
      </x:c>
      <x:c r="N23" s="99" t="n">
        <x:v>5</x:v>
      </x:c>
      <x:c r="O23" s="96" t="str">
        <x:v>Advertiser Permit 申请意图准确。</x:v>
      </x:c>
      <x:c r="P23" s="96" t="str">
        <x:v>**Answer**  
The service you are describing is the **Advertiser Permit** — formally the *Permit to Regulate Advertising Content on Social Media*, issued by the UAE Media Council / National Media Authority. It is required before publishing any advertising content on social media for any product, service, event, or activity within the UAE.
**Verified evidence**  
- **Who it applies to:** citizens, residents, and visitors who produce advertising content on social media, with or without compensation.  
- **Validity:** 1 year for citizens/residents (renewable); 3 months for visiting advertisers, extendable once up to 6 months.  
- **Key conditions:** minimum age 18 (special 15–18 rules with guardian oversight), good conduct, no prior media-standard violations, valid commercial license for electronic media activity (may be a free-zone sole establishment license), completion of Council awareness/training programs, and no outstanding dues to the Council.  
- **Exemptions:** promoting your own product/service through your personal account; minors producing educational, sports, cultural, or awareness content in line with age-classification rules.  
- **Application steps:** access the UAE Media Council e-services portal (per the retrieved guide: `eservices.uaemc.gov.ae`), fill in the application form, attach required documents, await initial approval, then receive the permit electronically.  
- **Timelines:** decision within 3 working days; if no decision within 15 working days, the application is deemed rejected. Permits expire 30 days after the validity period if not renewed.  
- **Fee (new issuance):** free per the guide. Renewal and visiting-permit fee amounts are referenced in retrieved service tables but are not legible in this excerpt.
**Limitation**  
Only retrieved evidence was reviewed. Exact renewal/visiting fee amounts and full document lists were not fully readable in the returned excerpt.
**Next interaction**  
Please confirm the exact service and applicant type so I can proceed:
1. **Permit/service type:** Advertiser Permit (individual social-media content creator) or a Media Establishment License (legal entity operating platforms providing news/advertising services)? Also state whether you are a citizen/resident or a visiting advertiser.
2. **Applicant type:** Individual / Commercial / Government.</x:v>
      </x:c>
      <x:c r="Q23" s="99" t="n">
        <x:v>25185</x:v>
      </x:c>
      <x:c r="R23" s="96" t="str">
        <x:v>如果要继续申请，请确认具体许可/服务类型和申请主体。
字段：permit_or_service_type, account_type
选项：Individual / Commercial / Government</x:v>
      </x:c>
    </x:row>
    <x:row r="24" ht="98" customHeight="1">
      <x:c r="A24" s="99" t="n">
        <x:v>23</x:v>
      </x:c>
      <x:c r="B24" s="96" t="str">
        <x:v>How do I apply for photocopying equipment permit?</x:v>
      </x:c>
      <x:c r="C24" s="99" t="str">
        <x:v>knowledge</x:v>
      </x:c>
      <x:c r="D24" s="99" t="str">
        <x:v>license_application</x:v>
      </x:c>
      <x:c r="E24" s="99" t="str">
        <x:v>BM25 + Vector + Graph / RRF</x:v>
      </x:c>
      <x:c r="F24" s="99" t="str">
        <x:v>mailgraph-6b2f08d763c8fe9a35c83b6d9ee5f628</x:v>
      </x:c>
      <x:c r="G24" s="99" t="n">
        <x:v>8</x:v>
      </x:c>
      <x:c r="H24" s="99" t="str">
        <x:v>bm25=30; vector=30; graph=30</x:v>
      </x:c>
      <x:c r="I24" s="99" t="str">
        <x:v>无</x:v>
      </x:c>
      <x:c r="J24" s="99" t="n">
        <x:v>5</x:v>
      </x:c>
      <x:c r="K24" s="96" t="str">
        <x:v>正确解释 Photocopying Equipment Permit 的实际含义。</x:v>
      </x:c>
      <x:c r="L24" s="96" t="str">
        <x:v>The service labelled **“Photocopying Equipment Permit”** in the UMC customer portal is not about office photocopy machines — it is the **permit to bring filming and photography equipment into the UAE accompanying journalists and media/camera crews from outside the country** (also listed as “Permit to Import Equipment and Cameras Accompanying Journalists and Camera Crews from Outside the Country”).
**What is verified from retrieved records:**
- **Fee: AED 500** — per item 47 of the Cabinet Resolution of 2025 on Media Services Fees (“Permit for bringing in filming and photography equipment accompanying media personnel and filming crews from Outside the State”).
- The fee tables show **AED 500** for **Individual**, **Commercial**, **Government**, and **Free Zone** applicant types.
- Legal basis: Federal Decree-Law No. 55 of 2023 Regulating Media — the Competent Authority issues permits for photography/filming equipment entry.
**What is not in the retrieved evidence:** the exact step-by-step application flow, required document checklist, and processing time. I cannot confirm those without the specific application records.
To continue, please confirm:
- **Permit/service type:** Photocopying Equipment Permit (equipment/camera import for journalists &amp; crews), or a different service?
- **Applying account type:** Individual, Commercial, or Government?
Once you confirm, I can pull the exact requirements and steps for your case.</x:v>
      </x:c>
      <x:c r="M24" s="99" t="n">
        <x:v>21603</x:v>
      </x:c>
      <x:c r="N24" s="99" t="n">
        <x:v>5</x:v>
      </x:c>
      <x:c r="O24" s="96" t="str">
        <x:v>正确解释 Photocopying Equipment Permit 的实际含义。</x:v>
      </x:c>
      <x:c r="P24" s="96" t="str">
        <x:v>**Answer**  
The service shown as “Photocopying Equipment Permit” in the UMC catalog is actually the **Permit to Import Equipment and Cameras Accompanying Journalists and Camera Crews from Outside the Country** — it covers filming/photography equipment brought in with media personnel, not photocopy machines.
- Service code: **460**
- Fee: **500** in the Cabinet 2025 Media Services fee schedule (UAE dirhams)
- Available to: **Individual, Commercial Entity, Free Zone, and Government Entity** applicant types
The retrieved knowledge base does **not** include a step-by-step application flow for this permit. The standard route is to submit through the **UMC customer portal** under the photography/filming equipment import service.
**Verified evidence**  
- UMC service fee tables show “Photocopying Equipment Permit” (摄影设备入境许可) with description “Permit to Import Equipment and Cameras Accompanying Journalists and Camera Crews from Outside the Country” — fee **500** for Individual, Commercial, Free Zone, and Government profiles (C1, C2).  
- Cabinet Resolution of 2025 on Media Services Fees lists “Permit for bringing in filming and photography equipment accompanying media personnel and filming crews from Outside the State — (500)” (C3).
**Limitation**  
No document checklist or portal navigation steps were retrieved for this permit. The translated label is misleading — this is not a permit for photocopying/printing equipment.
**Next interaction**  
To continue, please confirm:
1. **Permit/service type** — is this the media equipment import permit (service 460), or did you mean a different service?
2. **Applicant account type** — Individual, Commercial, or Government?
Also clarify the equipment you intend to import so I can confirm whether this is the correct service.</x:v>
      </x:c>
      <x:c r="Q24" s="99" t="n">
        <x:v>20272</x:v>
      </x:c>
      <x:c r="R24" s="96" t="str">
        <x:v>如果要继续申请，请确认具体许可/服务类型和申请主体。
字段：permit_or_service_type, account_type
选项：Individual / Commercial / Government</x:v>
      </x:c>
    </x:row>
    <x:row r="25" ht="98" customHeight="1">
      <x:c r="A25" s="99" t="n">
        <x:v>24</x:v>
      </x:c>
      <x:c r="B25" s="96" t="str">
        <x:v>Pay Fine</x:v>
      </x:c>
      <x:c r="C25" s="99" t="str">
        <x:v>data_query</x:v>
      </x:c>
      <x:c r="D25" s="99" t="str">
        <x:v>fine_payment</x:v>
      </x:c>
      <x:c r="E25" s="99" t="str">
        <x:v>umc.pending-violations</x:v>
      </x:c>
      <x:c r="F25" s="99" t="str">
        <x:v>—</x:v>
      </x:c>
      <x:c r="G25" s="99" t="n">
        <x:v>0</x:v>
      </x:c>
      <x:c r="H25" s="99" t="str">
        <x:v>—</x:v>
      </x:c>
      <x:c r="I25" s="99" t="str">
        <x:v>无</x:v>
      </x:c>
      <x:c r="J25" s="99" t="n">
        <x:v>4</x:v>
      </x:c>
      <x:c r="K25" s="96" t="str">
        <x:v>空账户记录下不虚构罚款支付。</x:v>
      </x:c>
      <x:c r="L25" s="96" t="str">
        <x:v>Your pending-violations check returned **no records** (`statusCode: 200`, `data: []`). This means the system currently shows **no pending media violation** associated with your account.
Because no violation record was returned, I cannot start a fine payment. I also cannot confirm whether online payment is supported.
If you have a fine reference number from an official UMC notice, please provide the exact reference so I can look it up and continue.
**Required action:** Please select the media violation record to pay by providing the `fine_reference`; after the amount and payment information are shown, you will need to confirm again before any payment is submitted.</x:v>
      </x:c>
      <x:c r="M25" s="99" t="n">
        <x:v>5981</x:v>
      </x:c>
      <x:c r="N25" s="99" t="n">
        <x:v>4</x:v>
      </x:c>
      <x:c r="O25" s="96" t="str">
        <x:v>空账户记录下不虚构罚款支付。</x:v>
      </x:c>
      <x:c r="P25" s="96" t="str">
        <x:v>**Answer**  
No pending media violation was returned, so there is currently no fine record available to select or pay.
**Verified evidence**  
- `umc.pending-violations` call succeeded (HTTP 200).  
- Response data: empty list (`[]`).
**Limitation**  
This result only confirms that no pending violation was returned in this check. It does not confirm whether online fine payment is supported or unsupported.
**Next interaction**  
If you have a specific **fine reference**, please provide it so we can proceed with selection and confirmation. Otherwise, you may re-check later.</x:v>
      </x:c>
      <x:c r="Q25" s="99" t="n">
        <x:v>3727</x:v>
      </x:c>
      <x:c r="R25" s="96" t="str">
        <x:v>请选择要支付的媒体违规记录；展示金额和支付信息后仍需再次确认。
字段：fine_reference
选项：</x:v>
      </x:c>
    </x:row>
    <x:row r="26" ht="98" customHeight="1">
      <x:c r="A26" s="99" t="n">
        <x:v>25</x:v>
      </x:c>
      <x:c r="B26" s="96" t="str">
        <x:v>How do I pay a fine?</x:v>
      </x:c>
      <x:c r="C26" s="99" t="str">
        <x:v>data_query</x:v>
      </x:c>
      <x:c r="D26" s="99" t="str">
        <x:v>fine_payment</x:v>
      </x:c>
      <x:c r="E26" s="99" t="str">
        <x:v>umc.pending-violations</x:v>
      </x:c>
      <x:c r="F26" s="99" t="str">
        <x:v>—</x:v>
      </x:c>
      <x:c r="G26" s="99" t="n">
        <x:v>0</x:v>
      </x:c>
      <x:c r="H26" s="99" t="str">
        <x:v>—</x:v>
      </x:c>
      <x:c r="I26" s="99" t="str">
        <x:v>无</x:v>
      </x:c>
      <x:c r="J26" s="99" t="n">
        <x:v>4</x:v>
      </x:c>
      <x:c r="K26" s="96" t="str">
        <x:v>安全但通用支付步骤仍应组合知识查询。</x:v>
      </x:c>
      <x:c r="L26" s="96" t="str">
        <x:v>Based on the verified query, no pending media violation records were currently returned for your account. This means there is no pending violation record shown that can be paid at this moment.
If you have a specific fine reference, it must be tied to a returned violation record in the UMC customer portal. After you select the correct record, the portal will display the amount and payment information, and you will need to confirm before payment is submitted.
Please select the media violation record you want to pay:
- **fine_reference**: required</x:v>
      </x:c>
      <x:c r="M26" s="99" t="n">
        <x:v>4954</x:v>
      </x:c>
      <x:c r="N26" s="99" t="n">
        <x:v>4</x:v>
      </x:c>
      <x:c r="O26" s="96" t="str">
        <x:v>安全但通用支付步骤仍应组合知识查询。</x:v>
      </x:c>
      <x:c r="P26" s="96" t="str">
        <x:v>**Answer**  
You can pay a UMC media fine only when there is a pending media-violation record tied to your account. Based on the latest check, no pending violation was returned, so there is currently no fine record in the system to pay.
If you already have a fine reference number from another UMC notice, you can provide it so we can look up the exact violation and payment details.
**Verified evidence**  
- Pending-violations check: successful response, but the returned record list is empty.
**Limitation**  
- No fine reference, amount, or payment method can be confirmed because no pending violation record was returned.
**Next interaction**  
Please provide the **fine reference** from your UMC violation notice, and confirm you want to proceed with payment for that specific record.</x:v>
      </x:c>
      <x:c r="Q26" s="99" t="n">
        <x:v>5339</x:v>
      </x:c>
      <x:c r="R26" s="96" t="str">
        <x:v>请选择要支付的媒体违规记录；展示金额和支付信息后仍需再次确认。
字段：fine_reference
选项：</x:v>
      </x:c>
    </x:row>
    <x:row r="27" ht="98" customHeight="1">
      <x:c r="A27" s="99" t="n">
        <x:v>26</x:v>
      </x:c>
      <x:c r="B27" s="96" t="str">
        <x:v>Fine payment process</x:v>
      </x:c>
      <x:c r="C27" s="99" t="str">
        <x:v>data_query</x:v>
      </x:c>
      <x:c r="D27" s="99" t="str">
        <x:v>fine_payment</x:v>
      </x:c>
      <x:c r="E27" s="99" t="str">
        <x:v>umc.pending-violations</x:v>
      </x:c>
      <x:c r="F27" s="99" t="str">
        <x:v>—</x:v>
      </x:c>
      <x:c r="G27" s="99" t="n">
        <x:v>0</x:v>
      </x:c>
      <x:c r="H27" s="99" t="str">
        <x:v>—</x:v>
      </x:c>
      <x:c r="I27" s="99" t="str">
        <x:v>无</x:v>
      </x:c>
      <x:c r="J27" s="99" t="n">
        <x:v>4</x:v>
      </x:c>
      <x:c r="K27" s="96" t="str">
        <x:v>支付流程未编造，信息量受空记录限制。</x:v>
      </x:c>
      <x:c r="L27" s="96" t="str">
        <x:v>Based on the live check, **no pending media violation record was returned** for your account.  
A UMC media fine can only be paid after a pending violation is selected and its fine reference and amount are confirmed.
Because no pending record is available right now, no payment can be started from this evidence. If you have a specific fine reference, please provide it so it can be checked before any payment step.
**Required interaction:**  
请选择要支付的媒体违规记录；展示金额和支付信息后仍需再次确认。  
Fields: `fine_reference`</x:v>
      </x:c>
      <x:c r="M27" s="99" t="n">
        <x:v>5494</x:v>
      </x:c>
      <x:c r="N27" s="99" t="n">
        <x:v>4</x:v>
      </x:c>
      <x:c r="O27" s="96" t="str">
        <x:v>支付流程未编造，信息量受空记录限制。</x:v>
      </x:c>
      <x:c r="P27" s="96" t="str">
        <x:v>Answer: There is currently no pending media violation returned for your account, so there is no fine record to pay. The fine payment flow requires selecting a returned violation first; payment cannot be started without a valid fine reference.
Verified evidence:  
- `umc.pending-violations` returned `isSuccess: true`, `statusCode: 200`, with an empty `data` array (`[]`).  
- No fine reference, amount, or payment information was returned.
Limitation: An empty result only confirms that no pending violation was returned; it does not confirm whether online payment is supported.
Next interaction: If you believe you have a media violation, please provide the fine reference or violation number so we can look it up.</x:v>
      </x:c>
      <x:c r="Q27" s="99" t="n">
        <x:v>3626</x:v>
      </x:c>
      <x:c r="R27" s="96" t="str">
        <x:v>请选择要支付的媒体违规记录；展示金额和支付信息后仍需再次确认。
字段：fine_reference
选项：</x:v>
      </x:c>
    </x:row>
    <x:row r="28" ht="98" customHeight="1">
      <x:c r="A28" s="99" t="n">
        <x:v>27</x:v>
      </x:c>
      <x:c r="B28" s="96" t="str">
        <x:v>What is a fine reference number?</x:v>
      </x:c>
      <x:c r="C28" s="99" t="str">
        <x:v>data_query</x:v>
      </x:c>
      <x:c r="D28" s="99" t="str">
        <x:v>fine_payment</x:v>
      </x:c>
      <x:c r="E28" s="99" t="str">
        <x:v>umc.pending-violations</x:v>
      </x:c>
      <x:c r="F28" s="99" t="str">
        <x:v>—</x:v>
      </x:c>
      <x:c r="G28" s="99" t="n">
        <x:v>0</x:v>
      </x:c>
      <x:c r="H28" s="99" t="str">
        <x:v>—</x:v>
      </x:c>
      <x:c r="I28" s="99" t="str">
        <x:v>无</x:v>
      </x:c>
      <x:c r="J28" s="99" t="n">
        <x:v>4</x:v>
      </x:c>
      <x:c r="K28" s="96" t="str">
        <x:v>reference 用途合理，但格式仍缺 schema 佐证。</x:v>
      </x:c>
      <x:c r="L28" s="96" t="str">
        <x:v>A fine reference number is the unique identifier for a UMC media violation/penalty record. It is used to look up the violation and begin payment or enquiry processes.
From the current live check, no pending media violation was returned, so no fine reference number is available in this session. The empty result only confirms that no pending violation record was returned; it does not confirm whether online payment is supported.
If a pending violation is selected, its exact reference and amount will be shown for confirmation before any payment step.
Interaction Request (required):  
`请选择要支付的媒体违规记录；展示金额和支付信息后仍需再次确认。`  
Fields: `fine_reference`</x:v>
      </x:c>
      <x:c r="M28" s="99" t="n">
        <x:v>6095</x:v>
      </x:c>
      <x:c r="N28" s="99" t="n">
        <x:v>4</x:v>
      </x:c>
      <x:c r="O28" s="96" t="str">
        <x:v>reference 用途合理，但格式仍缺 schema 佐证。</x:v>
      </x:c>
      <x:c r="P28" s="96" t="str">
        <x:v>**Answer**
A fine reference number is the unique identifier assigned to a UMC media violation record. In the payment process, you use it to select the exact violation you intend to pay. The current check returned no pending violation records, so there is no fine reference available to show at this time.
**Verified evidence**
- `umc.pending-violations` returned `isSuccess: true`, HTTP 200, with an empty `data: []` array, meaning no pending media violation was returned.
**Limitation**
- The empty result only proves that no pending violation was returned; it does not confirm whether online payment is supported or unsupported.
- No fine reference format or example is defined in the available evidence, so no format can be stated.
**Next interaction**
- You are requested to select the media violation record to pay. Because no pending violation was returned, no `fine_reference` can be chosen currently. If you believe a violation exists, please confirm the relevant enquiry or violation identifier so it can be checked again.</x:v>
      </x:c>
      <x:c r="Q28" s="99" t="n">
        <x:v>5497</x:v>
      </x:c>
      <x:c r="R28" s="96" t="str">
        <x:v>请选择要支付的媒体违规记录；展示金额和支付信息后仍需再次确认。
字段：fine_reference
选项：</x:v>
      </x:c>
    </x:row>
    <x:row r="29" ht="98" customHeight="1">
      <x:c r="A29" s="99" t="n">
        <x:v>28</x:v>
      </x:c>
      <x:c r="B29" s="96" t="str">
        <x:v>Can I pay a violation penalty online?</x:v>
      </x:c>
      <x:c r="C29" s="99" t="str">
        <x:v>data_query</x:v>
      </x:c>
      <x:c r="D29" s="99" t="str">
        <x:v>fine_payment</x:v>
      </x:c>
      <x:c r="E29" s="99" t="str">
        <x:v>umc.pending-violations</x:v>
      </x:c>
      <x:c r="F29" s="99" t="str">
        <x:v>—</x:v>
      </x:c>
      <x:c r="G29" s="99" t="n">
        <x:v>0</x:v>
      </x:c>
      <x:c r="H29" s="99" t="str">
        <x:v>—</x:v>
      </x:c>
      <x:c r="I29" s="99" t="str">
        <x:v>无</x:v>
      </x:c>
      <x:c r="J29" s="99" t="n">
        <x:v>4</x:v>
      </x:c>
      <x:c r="K29" s="96" t="str">
        <x:v>不从空记录推断线上支付能力。</x:v>
      </x:c>
      <x:c r="L29" s="96" t="str">
        <x:v>Based on the live check, your account has **no pending media violation records** returned by the system (`success: true`, empty list). So there is currently nothing to pay.
This empty result only confirms that no pending violation was found for the account checked — it does not confirm whether online fine payment is available in general. I also cannot confirm any payment path or fee without a specific violation record and fine reference.
If you have a fine reference number from a notification, please provide it so I can pull the exact record and guide you.
---
**Required next step:**  
请选择要支付的媒体违规记录；展示金额和支付信息后仍需再次确认。  
Fields required: `fine_reference`</x:v>
      </x:c>
      <x:c r="M29" s="99" t="n">
        <x:v>7689</x:v>
      </x:c>
      <x:c r="N29" s="99" t="n">
        <x:v>4</x:v>
      </x:c>
      <x:c r="O29" s="96" t="str">
        <x:v>不从空记录推断线上支付能力。</x:v>
      </x:c>
      <x:c r="P29" s="96" t="str">
        <x:v>**Answer**  
Based on the live check, there is **no pending media violation record** returned for your account right now, so there is no penalty available to select and pay online at this moment. This result only means that no pending record was returned; it does not confirm whether online payment is generally supported.
**Verified evidence**  
- Tool: `umc.pending-violations` (live)  
- Status: success (HTTP 200)  
- Returned data: empty list `[]`
**Next interaction**  
If you have a specific media violation reference (fine reference), please provide it so we can verify the record and, if it exists, show its amount and payment details for your confirmation.</x:v>
      </x:c>
      <x:c r="Q29" s="99" t="n">
        <x:v>4467</x:v>
      </x:c>
      <x:c r="R29" s="96" t="str">
        <x:v>请选择要支付的媒体违规记录；展示金额和支付信息后仍需再次确认。
字段：fine_reference
选项：</x:v>
      </x:c>
    </x:row>
    <x:row r="30" ht="98" customHeight="1">
      <x:c r="A30" s="99" t="n">
        <x:v>29</x:v>
      </x:c>
      <x:c r="B30" s="96" t="str">
        <x:v>License Renewal</x:v>
      </x:c>
      <x:c r="C30" s="99" t="str">
        <x:v>knowledge</x:v>
      </x:c>
      <x:c r="D30" s="99" t="str">
        <x:v>license_renewal</x:v>
      </x:c>
      <x:c r="E30" s="99" t="str">
        <x:v>BM25 + Vector + Graph / RRF</x:v>
      </x:c>
      <x:c r="F30" s="99" t="str">
        <x:v>mailgraph-6b2f08d763c8fe9a35c83b6d9ee5f628</x:v>
      </x:c>
      <x:c r="G30" s="99" t="n">
        <x:v>8</x:v>
      </x:c>
      <x:c r="H30" s="99" t="str">
        <x:v>bm25=30; vector=30; graph=30</x:v>
      </x:c>
      <x:c r="I30" s="99" t="str">
        <x:v>无</x:v>
      </x:c>
      <x:c r="J30" s="99" t="n">
        <x:v>5</x:v>
      </x:c>
      <x:c r="K30" s="96" t="str">
        <x:v>续期一年、提前 30 天等规则有证据。</x:v>
      </x:c>
      <x:c r="L30" s="96" t="str">
        <x:v>Based on the verified UAE Media Council (UMC) regulatory rules:
- The standard media licence is issued for **one calendar year**.
- A renewal application must be submitted **30 days before the expiry date**.
- Renewal is subject to the **same terms and conditions** as the initial licence issuance.
- You **may not continue the media activity** after expiry until the renewal is granted.
- If a renewal application is **not submitted within 90 days after expiry**, the licence is **automatically cancelled** and the administrative fine applies.
- Fees are activity-specific and depend on the licence activity and entity type, so I cannot confirm an exact amount without your licence details.
To proceed, please provide the following:
**Required:** Please provide the licence/permit type that needs renewal or extension; account lookup also requires the licence number.
- **Fields:** `license_or_permit_type`, `license_number`
- **Choices:** `Renew licence` / `Extend permit`
Please note: extension may be a different operation from renewal, so specify whether you need to renew the licence or extend an existing permit.</x:v>
      </x:c>
      <x:c r="M30" s="99" t="n">
        <x:v>23239</x:v>
      </x:c>
      <x:c r="N30" s="99" t="n">
        <x:v>5</x:v>
      </x:c>
      <x:c r="O30" s="96" t="str">
        <x:v>续期一年、提前 30 天等规则有证据。</x:v>
      </x:c>
      <x:c r="P30" s="96" t="str">
        <x:v>**Answer**  
To proceed, I need the specific licence/permit type and the licence number. Renewal and extension are treated as potentially different operations, so please confirm which one applies to you.
**Verified evidence**  
- Under the Cabinet Resolution of 2024 (Executive Regulation for Federal Decree‑Law of 2023 Regulating the Media), media licences are issued for one calendar year.  
- A renewal application must be submitted 30 days before expiry.  
- Renewal follows the same terms and conditions as initial licence issuance.  
- The licensee may not continue the media activity after expiry until renewal is completed.  
- Failure to submit a renewal application within 90 days from expiry results in automatic licence cancellation and a fine.  
- Fee tables include renewal fees per media activity, but the exact fee depends on the activity and applicant type.
**Limitation**  
I do not have access to your account data without the licence number, so I cannot confirm your renewal status, deadline, or fee from this conversation.
**Next interaction**  
Please provide:  
1. Whether you want to **renew a licence** or **extend a permit**.  
2. The licence/permit type and the licence number.</x:v>
      </x:c>
      <x:c r="Q30" s="99" t="n">
        <x:v>23031</x:v>
      </x:c>
      <x:c r="R30" s="96" t="str">
        <x:v>请提供需要续期或延期的许可证/permit 类型；账户查询还需要许可证号。
字段：license_or_permit_type, license_number
选项：Renew licence / Extend permit</x:v>
      </x:c>
    </x:row>
    <x:row r="31" ht="98" customHeight="1">
      <x:c r="A31" s="99" t="n">
        <x:v>30</x:v>
      </x:c>
      <x:c r="B31" s="96" t="str">
        <x:v>How can I renew my license?</x:v>
      </x:c>
      <x:c r="C31" s="99" t="str">
        <x:v>knowledge</x:v>
      </x:c>
      <x:c r="D31" s="99" t="str">
        <x:v>license_renewal</x:v>
      </x:c>
      <x:c r="E31" s="99" t="str">
        <x:v>BM25 + Vector + Graph / RRF</x:v>
      </x:c>
      <x:c r="F31" s="99" t="str">
        <x:v>mailgraph-6b2f08d763c8fe9a35c83b6d9ee5f628</x:v>
      </x:c>
      <x:c r="G31" s="99" t="n">
        <x:v>8</x:v>
      </x:c>
      <x:c r="H31" s="99" t="str">
        <x:v>bm25=30; vector=30; graph=30</x:v>
      </x:c>
      <x:c r="I31" s="99" t="str">
        <x:v>无</x:v>
      </x:c>
      <x:c r="J31" s="99" t="n">
        <x:v>5</x:v>
      </x:c>
      <x:c r="K31" s="96" t="str">
        <x:v>续期规则和门户操作清楚。</x:v>
      </x:c>
      <x:c r="L31" s="96" t="str">
        <x:v>Based on the retrieved UMC knowledge base:
**General renewal rule (UAE media regulation, 2024 Executive Regulation):**
- Media licences are issued for **one calendar year**.
- A renewal application must be submitted **at least 30 days before expiry**.
- Renewal follows the **same conditions and documents** as the original application.
- You may **not continue the media activity after expiry** until renewal is completed.
- If no renewal application is submitted within **90 days after expiry**, the licence is **automatically cancelled** and an administrative fine applies.
**How to start:**
- In the UMC customer portal, go to **Licenses &amp; Permits**, find your record (status may show "Expiring"), and select **Renew**.
- Renewal is handled as a separate operation from “Extend permit.”
**Covered licences** include:
- Media License – renew service code 902
- Radio &amp; TV Broadcasting License – renew service code 802
- Newspaper &amp; Magazine License – renew service code 1204
- Individual social media advertising permit – renew service code 80021
**Not in the retrieved evidence:** exact renewal fees and the service-specific document checklist. To confirm those, I need your licence type and licence number.
Please provide the following to continue:
- **License/Permit type** (choose: Renew licence / Extend permit)
- **License number**</x:v>
      </x:c>
      <x:c r="M31" s="99" t="n">
        <x:v>17391</x:v>
      </x:c>
      <x:c r="N31" s="99" t="n">
        <x:v>5</x:v>
      </x:c>
      <x:c r="O31" s="96" t="str">
        <x:v>续期规则和门户操作清楚。</x:v>
      </x:c>
      <x:c r="P31" s="96" t="str">
        <x:v>## Answer
To renew your media license, the verified rule is:
- A media license is issued for **one calendar year**.
- The renewal application should be submitted **30 days before the expiry date**.
- Renewal follows the **same terms and conditions as the initial issuance**.
- You must **not continue practicing the licensed media activity after expiry** until renewal is completed.
- If renewal is **not submitted within 90 days after expiry**, the license is **automatically cancelled** and a fine may apply under the media administrative violations regulations.
To start the renewal, log in to the **UMC customer portal**, select the license you want to renew, and open a renewal application for that license/permit.
## Verified evidence
- Cabinet Resolution of 2024 (Executive Regulation of the Media Decree-Law), **Article (7) – License Term and Renewal**: one-calendar-year term, application for renewal submitted 30 days before expiration, renewal under initial issuance conditions, no practice after expiry until renewal, and automatic cancellation plus fine if renewal is not submitted within 90 days from expiry (evidence C4).
- System service definitions confirm renewal exists for the main license types: Media License, Radio &amp; TV Broadcasting License, Newspaper &amp; Magazine License, and the individual social media advertising/media content permit (evidence C1, C2).
## Limitation
I do not have your account or license record in this conversation, so I cannot confirm your license’s expiry date, renewal eligibility, fees, or required documents. Those details depend on the specific license/permit type and your account.
## Next interaction
To give you accurate renewal steps, please tell me:
1. **License/permit type** — choose one:  
   - `Renew licence`  
   - `Extend permit`  
2. **License number** (required for account lookup)</x:v>
      </x:c>
      <x:c r="Q31" s="99" t="n">
        <x:v>14757</x:v>
      </x:c>
      <x:c r="R31" s="96" t="str">
        <x:v>请提供需要续期或延期的许可证/permit 类型；账户查询还需要许可证号。
字段：license_or_permit_type, license_number
选项：Renew licence / Extend permit</x:v>
      </x:c>
    </x:row>
    <x:row r="32" ht="98" customHeight="1">
      <x:c r="A32" s="99" t="n">
        <x:v>31</x:v>
      </x:c>
      <x:c r="B32" s="96" t="str">
        <x:v>My license is expiring, how do I renew it?</x:v>
      </x:c>
      <x:c r="C32" s="99" t="str">
        <x:v>knowledge</x:v>
      </x:c>
      <x:c r="D32" s="99" t="str">
        <x:v>license_renewal</x:v>
      </x:c>
      <x:c r="E32" s="99" t="str">
        <x:v>BM25 + Vector + Graph / RRF</x:v>
      </x:c>
      <x:c r="F32" s="99" t="str">
        <x:v>mailgraph-6b2f08d763c8fe9a35c83b6d9ee5f628</x:v>
      </x:c>
      <x:c r="G32" s="99" t="n">
        <x:v>8</x:v>
      </x:c>
      <x:c r="H32" s="99" t="str">
        <x:v>bm25=30; vector=30; graph=30</x:v>
      </x:c>
      <x:c r="I32" s="99" t="str">
        <x:v>无</x:v>
      </x:c>
      <x:c r="J32" s="99" t="n">
        <x:v>5</x:v>
      </x:c>
      <x:c r="K32" s="96" t="str">
        <x:v>即将到期续期步骤可执行。</x:v>
      </x:c>
      <x:c r="L32" s="96" t="str">
        <x:v>To renew your licence in the UAE:
1. Sign in to the UMC customer portal.
2. Open **Licenses &amp; Permits**, find the licence with **Expiring** status, and select **Renew**.
3. Submit the renewal request. Once approved, the system updates the certificate's issue/expiry dates. Renewal is processed as a separate service per licence type (e.g., Media License, Radio &amp; TV Broadcasting, Newspaper/Magazine, or individual social media permit).
4. Confirm and pay the renewal fee in **My Requests** — the amount depends on the licence/activity type and is displayed before payment.
The exact renewal window, documents, and steps vary by licence/permit type, and renewal is different from an extension. To give you the precise procedure, please provide:
- **License/permit type** — choose **Renew licence** or **Extend permit**
- **License number**</x:v>
      </x:c>
      <x:c r="M32" s="99" t="n">
        <x:v>20961</x:v>
      </x:c>
      <x:c r="N32" s="99" t="n">
        <x:v>5</x:v>
      </x:c>
      <x:c r="O32" s="96" t="str">
        <x:v>即将到期续期步骤可执行。</x:v>
      </x:c>
      <x:c r="P32" s="96" t="str">
        <x:v>**Answer**  
To renew a UAE media licence, go to the UMC customer portal and use the renewal service that matches your licence type. Renewal is treated as a separate operation from an extension, so please confirm which one you need.
Based on verified evidence, renewal services exist for:
- Media License (Media License renewal)
- Radio &amp; TV Broadcasting License
- Newspaper &amp; Magazine License
- Individual social media advertising/content permit
**Verified evidence**
- Renewal is a distinct application type in the system (e.g., Media License renewal, Radio &amp; TV renewal, Magazine renewal), and a successful renewal updates the certificate issue/expiry dates.
- The Licenses &amp; Permits page shows licences with status “Expiring” and a **Renew** action.
- Published service fees for certain renewals (AED):
  - Electronic/digital media news or advertising platform – Media License renewal: 5,000
  - Podcasting/video blogging platform – Media License renewal: 5,000
  - Cinema theater Category Two (1–5 screens) renewal: 30,000
  - Selling visual recordings and audiovisual media renewal: 2,000
- Note: the evidence also includes a TDRA trust-services renewal rule (submit at least 3 months before expiry, 2-year licence term). This is not a UMC media licence rule and may not apply to your case.
**Limitation**  
I cannot verify your account status, exact expiry date, or applicable renewal fee without your licence details. I also cannot submit any renewal request on your behalf without a selected record and your explicit confirmation.
**Next interaction**  
Please provide:
1. Licence/permit type (e.g., Media License, Radio &amp; TV Broadcasting License, Newspaper/Magazine License, social media permit)
2. Licence or permit number
3. Whether you need to **renew the licence** or **extend the permit** — these may be different services.</x:v>
      </x:c>
      <x:c r="Q32" s="99" t="n">
        <x:v>23704</x:v>
      </x:c>
      <x:c r="R32" s="96" t="str">
        <x:v>请提供需要续期或延期的许可证/permit 类型；账户查询还需要许可证号。
字段：license_or_permit_type, license_number
选项：Renew licence / Extend permit</x:v>
      </x:c>
    </x:row>
    <x:row r="33" ht="98" customHeight="1">
      <x:c r="A33" s="99" t="n">
        <x:v>32</x:v>
      </x:c>
      <x:c r="B33" s="96" t="str">
        <x:v>When does the renewal window open?</x:v>
      </x:c>
      <x:c r="C33" s="99" t="str">
        <x:v>knowledge</x:v>
      </x:c>
      <x:c r="D33" s="99" t="str">
        <x:v>license_renewal</x:v>
      </x:c>
      <x:c r="E33" s="99" t="str">
        <x:v>BM25 + Vector + Graph / RRF</x:v>
      </x:c>
      <x:c r="F33" s="99" t="str">
        <x:v>mailgraph-6b2f08d763c8fe9a35c83b6d9ee5f628</x:v>
      </x:c>
      <x:c r="G33" s="99" t="n">
        <x:v>8</x:v>
      </x:c>
      <x:c r="H33" s="99" t="str">
        <x:v>bm25=30; vector=30; graph=30</x:v>
      </x:c>
      <x:c r="I33" s="99" t="str">
        <x:v>无</x:v>
      </x:c>
      <x:c r="J33" s="99" t="n">
        <x:v>4</x:v>
      </x:c>
      <x:c r="K33" s="96" t="str">
        <x:v>没有证据时拒绝编造固定窗口。</x:v>
      </x:c>
      <x:c r="L33" s="96" t="str">
        <x:v>Based on the retrieved knowledge, I cannot confirm a specific renewal-window opening date. The evidence returned does not contain any fixed renewal window, calendar date, or service-specific rule for when renewals open.
Renewal windows in UMC are service-specific — the timing can differ depending on the licence or permit type, and renewal and extension may be handled as separate operations.
To check the applicable renewal window for your case, please provide:
- The licence/permit type
- The licence number (for account lookup)
Once those are available, I can check the service-specific renewal rules and any actual dates tied to your record.
---
**Interaction Request**
Please provide the licence/permit type that needs renewal or extension; an account lookup also requires the licence number.
Fields: `license_or_permit_type`, `license_number`  
Choices: Renew licence / Extend permit  
Evidence available: Yes</x:v>
      </x:c>
      <x:c r="M33" s="99" t="n">
        <x:v>11436</x:v>
      </x:c>
      <x:c r="N33" s="99" t="n">
        <x:v>4</x:v>
      </x:c>
      <x:c r="O33" s="96" t="str">
        <x:v>没有证据时拒绝编造固定窗口。</x:v>
      </x:c>
      <x:c r="P33" s="96" t="str">
        <x:v>**Answer**  
The retrieved UMC knowledge base does not contain a verified opening date for a renewal window. Renewal timing depends on the specific licence/permit type, and I don't want to guess a fixed window for you.
**Verified evidence**  
- The available knowledge search results do not include any renewal-window dates, deadlines, or service-specific renewal rules.  
- The evidence returned covers unrelated topics (digital data interoperability and UMC service entrance gating), so it cannot support a renewal-window answer.
**Limitation**  
No account or licence data was provided, so I cannot check any personal renewal eligibility or dates. Unknown fields are not populated in the retrieved evidence.
**Next interaction**  
Please tell me:
1. Which operation applies: **Renew licence** or **Extend permit**?
2. The **licence/permit type** (and, if this is an account query, the **licence number**).</x:v>
      </x:c>
      <x:c r="Q33" s="99" t="n">
        <x:v>12388</x:v>
      </x:c>
      <x:c r="R33" s="96" t="str">
        <x:v>请提供需要续期或延期的许可证/permit 类型；账户查询还需要许可证号。
字段：license_or_permit_type, license_number
选项：Renew licence / Extend permit</x:v>
      </x:c>
    </x:row>
    <x:row r="34" ht="98" customHeight="1">
      <x:c r="A34" s="99" t="n">
        <x:v>33</x:v>
      </x:c>
      <x:c r="B34" s="96" t="str">
        <x:v>How do I extend an existing permit?</x:v>
      </x:c>
      <x:c r="C34" s="99" t="str">
        <x:v>knowledge</x:v>
      </x:c>
      <x:c r="D34" s="99" t="str">
        <x:v>license_renewal</x:v>
      </x:c>
      <x:c r="E34" s="99" t="str">
        <x:v>BM25 + Vector + Graph / RRF</x:v>
      </x:c>
      <x:c r="F34" s="99" t="str">
        <x:v>mailgraph-6b2f08d763c8fe9a35c83b6d9ee5f628</x:v>
      </x:c>
      <x:c r="G34" s="99" t="n">
        <x:v>8</x:v>
      </x:c>
      <x:c r="H34" s="99" t="str">
        <x:v>bm25=30; vector=30; graph=30</x:v>
      </x:c>
      <x:c r="I34" s="99" t="str">
        <x:v>无</x:v>
      </x:c>
      <x:c r="J34" s="99" t="n">
        <x:v>4</x:v>
      </x:c>
      <x:c r="K34" s="96" t="str">
        <x:v>区分 renewal 与 extension 并请求许可类型。</x:v>
      </x:c>
      <x:c r="L34" s="96" t="str">
        <x:v>Extending or renewing a permit through UMC depends on the **permit type** — renewal and extension can be different operations, so there isn't one universal step.
**Verified guidance from the retrieved knowledge base:**
- Applications are submitted electronically through the **UMC e-services portal** (the advertiser-permit guide references `https://eservices.uaemc.gov.ae`).
- Your account must have a **valid, verified Personal Profile** before applying for any permit service. If it's missing, incomplete, or expired, add/complete it first.
- If you already hold a valid Media License or have an **in-progress application** for the same service, a new application can be blocked — use the renewal/extension service for the existing permit rather than submitting a new one.
- Example rules from the evidence:
  - **Advertiser Permit**: valid for 1 year (citizens/residents) or 3 months (visitors); permits expire 30 days after the validity period if not renewed.
  - **Visiting Advertiser Permit**: issued for 3 months, extendable **once** for another 3 months (6 months total).
  - **Foreign Correspondent/Sponsorship**: has a dedicated "Renew" service.
- Fees, validity, and renewal rules for other permits (filming, posters/trailers, age rating, etc.) are **service-specific** — I don't have verified amounts or windows in this result set.
To proceed, I need to know which permit you hold and what you want to do:
**Interaction Request:**  
Please provide the **permit/licence type** you need to renew or extend, plus the **licence number** for account lookup.
- Fields: `license_or_permit_type`, `license_number`
- Choices: **Renew licence** | **Extend permit**</x:v>
      </x:c>
      <x:c r="M34" s="99" t="n">
        <x:v>32767</x:v>
      </x:c>
      <x:c r="N34" s="99" t="n">
        <x:v>4</x:v>
      </x:c>
      <x:c r="O34" s="96" t="str">
        <x:v>区分 renewal 与 extension 并请求许可类型。</x:v>
      </x:c>
      <x:c r="P34" s="96" t="str">
        <x:v>## Answer
Extending an existing permit is not a single generic process in the UMC media-regulatory framework — it depends on the permit type and on whether the system treats the action as a **renewal** or an **extension**. In general, you start from the existing permit record in the UMC customer portal and submit the applicable renewal/extension application, with any required documents and fee payment. A verified Personal Profile is typically required before applying.
## Verified evidence
- **Advertiser permits**: validity is 1 year (citizens/residents) or 3 months (visitors). Permits expire 30 days after the validity period if not renewed. The visiting advertiser permit is extendable once for another 3 months (6 months total). Renewal fee applies from the 4th year. (C2)
- Application steps for advertiser permits: access the UAE Media Council eServices website (https://eservices.uaemc.gov.ae), fill the form, attach documents, await initial approval, then receive the permit electronically. Decisions are issued within 3 working days; if no decision is made within 15 working days, the application is deemed rejected. (C2)
- Some permit types in the system have a dedicated "renew" variant — e.g., Foreign Correspondent Permit and Sponsorship Request for Foreign Correspondent — so the correct application is the renewal version, not a new permit. (C6)
- Other permits (e.g., script approval AED 800, local printing AED 2,000, video game permits AED 500–1,000) list issuance fees and a 5-working-day completion time, but the evidence does not state their renewal or extension procedure. (C1)
## Limitation
There is no universal renewal window or extension rule in the retrieved knowledge, and not every permit is necessarily renewable. I also cannot see your account records, permit status, or due dates.
## Next interaction
To proceed, please provide:
1. **Permit/licence type** (e.g., advertiser permit, filming permit, foreign correspondent permit, etc.).
2. **Permit or licence number** for account lookup.
And confirm whether you want to **Renew licence** or **Extend permit**.</x:v>
      </x:c>
      <x:c r="Q34" s="99" t="n">
        <x:v>23685</x:v>
      </x:c>
      <x:c r="R34" s="96" t="str">
        <x:v>请提供需要续期或延期的许可证/permit 类型；账户查询还需要许可证号。
字段：license_or_permit_type, license_number
选项：Renew licence / Extend permit</x:v>
      </x:c>
    </x:row>
    <x:row r="35" ht="98" customHeight="1">
      <x:c r="A35" s="99" t="n">
        <x:v>34</x:v>
      </x:c>
      <x:c r="B35" s="96" t="str">
        <x:v>Recent Media Regulations</x:v>
      </x:c>
      <x:c r="C35" s="99" t="str">
        <x:v>knowledge</x:v>
      </x:c>
      <x:c r="D35" s="99" t="str">
        <x:v>latest_regulations</x:v>
      </x:c>
      <x:c r="E35" s="99" t="str">
        <x:v>BM25 + Vector + Graph / RRF</x:v>
      </x:c>
      <x:c r="F35" s="99" t="str">
        <x:v>mailgraph-6b2f08d763c8fe9a35c83b6d9ee5f628</x:v>
      </x:c>
      <x:c r="G35" s="99" t="n">
        <x:v>8</x:v>
      </x:c>
      <x:c r="H35" s="99" t="str">
        <x:v>bm25=30; vector=30; graph=30</x:v>
      </x:c>
      <x:c r="I35" s="99" t="str">
        <x:v>无</x:v>
      </x:c>
      <x:c r="J35" s="99" t="n">
        <x:v>5</x:v>
      </x:c>
      <x:c r="K35" s="96" t="str">
        <x:v>正确识别 2023 媒体法和 2024 执行条例。</x:v>
      </x:c>
      <x:c r="L35" s="96" t="str">
        <x:v>Based on the retrieved UMC knowledge base, the recent media regulatory framework includes:
1. **Federal Decree-Law No. (55) of 2023 Regulating Media** — also cited as *Federal Decree by Law of 2023 Regulating Media*
   - Enters into force as of **01/12/2023** (Article 31).
   - Applies to all media activities in the UAE, including free zones (Article 2).
   - Covers licensing conditions, ownership, media content standards, oversight, and administrative sanctions.
   - Repeals Federal Law No. (15) of 1980 concerning Publications and Publishing (Article 30).
2. **Cabinet Decision No. (68) of 2024** — Executive Regulation of Federal Decree-Law No. (55) of 2023, also cited as *Cabinet Resolution of 2024 Regarding the Executive Regulation for Federal Decree by Law of 2023 Regulating the Media*
   - Lists additional media activities requiring UAE Media Council licenses (Article 27).
   - Sets media content standards (Article 28).
   - Covers printing, circulation, publication permits, series script approvals, and foreign media content permits (Articles 29–32).
3. **Cabinet Decision No. (41) of 2025** — concerning media service fees.  
   *Referenced in the Media Services Guide; no further details are in the retrieved evidence.*
4. **Cabinet Decision No. (42) of 2025** — regarding the list of violations and administrative penalties.  
   *Referenced in the Media Services Guide; no further details are in the retrieved evidence.*
Key points from the retrieved text:
- Administrative fines range from **AED 1,000 to AED 1,000,000**, doubled on repeat violations up to **AED 2,000,000** (Article 23).
- Media activities include broadcasting, video games, films, newspapers, electronic/digital media, photography, and related activities (Article 8).
- Practicing a media activity without the required permit is considered an administrative violation.
For a more targeted answer or an exact quotation, please provide the specific regulation number, title, date, or article number.
```json
{
  "required": true,
  "prompt": "请提供法规主题，或具体的法规/内阁决议编号、标题和日期；逐字引用还必须定位到明确条款。",
  "fields": ["regulation_topic", "regulation_or_resolution_reference", "article_number"],
  "choices": ["Latest updates", "Summary", "Exact quotation"],
  "evidenceAvailable": true
}
```</x:v>
      </x:c>
      <x:c r="M35" s="99" t="n">
        <x:v>34278</x:v>
      </x:c>
      <x:c r="N35" s="99" t="n">
        <x:v>5</x:v>
      </x:c>
      <x:c r="O35" s="96" t="str">
        <x:v>正确识别 2023 媒体法和 2024 执行条例。</x:v>
      </x:c>
      <x:c r="P35" s="96" t="str">
        <x:v>## Answer
The most recent media regulations in the retrieved UMC knowledge base are the **Federal Decree-Law No. (55) of 2023 Regulating Media** (in force from **01/12/2023**) and the **Cabinet Decision No. (68) of 2024** issuing its Executive Regulation. The current services framework also references **Cabinet Decision No. (41) of 2025** on media service fees and **Cabinet Decision No. (42) of 2025** on the list of violations and administrative penalties.
## Verified evidence
- **Federal Decree-Law No. (55) of 2023 Regulating Media** — applies to all persons, media establishments, outlets and media free zones practicing media activities in the UAE; regulates licensing/permit conditions, free-zone media activities, media content standards, administrative sanctions (AED 1,000–1,000,000, doubled on repetition up to AED 2,000,000), and entry into force on **01/12/2023** [C1, C2].
- **Cabinet Decision No. (68) of 2024 — Executive Regulation** — covers licensing of media activities (e.g., distribution/sale of audio and video recordings, video games trading, advertising, cinema, film import/production), media content standards, permits for printing/circulation/publishing local and foreign media content, series script approvals, and measures regarding unlicensed foreign media outlets [C3].
- **Media Services Guide** — lists the legislative framework as: Federal Decree-Law No. (55) of 2023, Cabinet Decision No. (68) of 2024, Cabinet Decision No. (41) of 2025 (fees), and Cabinet Decision No. (42) of 2025 (violations and administrative penalties); includes services such as local/foreign printing permits, script approvals, film screening and age classification permits, and video game permits [C4].
## Limitation
The full text of Cabinet Decisions No. (41) and No. (42) of 2025, and the complete provisions of the Executive Regulation and the Decree-Law, are not contained in this retrieval. Fees and violation amounts for those decisions should therefore not be quoted from this evidence.
## Next interaction
If you need more detail, please indicate one of the following and provide the relevant reference:
- **Latest updates** — confirm which regulation or decision you want updated information for.
- **Summary** — specify a topic (e.g., licensing, free zones, content standards, sanctions) or a regulation/resolution number and title.
- **Exact quotation** — provide the regulation/resolution reference and article number so we can locate the exact text.</x:v>
      </x:c>
      <x:c r="Q35" s="99" t="n">
        <x:v>20104</x:v>
      </x:c>
      <x:c r="R35" s="96" t="str">
        <x:v>请提供法规主题，或具体的法规/内阁决议编号、标题和日期；逐字引用还必须定位到明确条款。
字段：regulation_topic, regulation_or_resolution_reference, article_number
选项：Latest updates / Summary / Exact quotation</x:v>
      </x:c>
    </x:row>
    <x:row r="36" ht="98" customHeight="1">
      <x:c r="A36" s="99" t="n">
        <x:v>35</x:v>
      </x:c>
      <x:c r="B36" s="96" t="str">
        <x:v>What are the latest media regulations?</x:v>
      </x:c>
      <x:c r="C36" s="99" t="str">
        <x:v>knowledge</x:v>
      </x:c>
      <x:c r="D36" s="99" t="str">
        <x:v>latest_regulations</x:v>
      </x:c>
      <x:c r="E36" s="99" t="str">
        <x:v>BM25 + Vector + Graph / RRF</x:v>
      </x:c>
      <x:c r="F36" s="99" t="str">
        <x:v>mailgraph-6b2f08d763c8fe9a35c83b6d9ee5f628</x:v>
      </x:c>
      <x:c r="G36" s="99" t="n">
        <x:v>8</x:v>
      </x:c>
      <x:c r="H36" s="99" t="str">
        <x:v>bm25=30; vector=30; graph=30</x:v>
      </x:c>
      <x:c r="I36" s="99" t="str">
        <x:v>无</x:v>
      </x:c>
      <x:c r="J36" s="99" t="n">
        <x:v>5</x:v>
      </x:c>
      <x:c r="K36" s="96" t="str">
        <x:v>latest 判断包含法规名称和生效日期。</x:v>
      </x:c>
      <x:c r="L36" s="96" t="str">
        <x:v>Based on the retrieved UMC knowledge base, the latest named regulation is:
**Federal Decree by Law No. (55) of 2023 Regulating Media** — entered into force on **01/12/2023** (Article 31).
Key points from the retrieved text:
- **Scope**: Applies to all persons, media establishments/institutions, media outlets, and media free zones practising media activities in the UAE (Article 2).
- **Objectives**: Regulate all media activities, strengthen the UAE’s media environment, and improve media content (Article 3).
- **Media activities covered** (Article 8): radio/TV broadcasting including IPTV, OTT and VOD; video games; films and artistic works; newspapers/publications; book fairs; electronic/digital media; photography; and other activities determined by the Executive Regulation.
- **Licensing/permit conditions** (Articles 5–7): applicants must meet conditions and media content standards, pay fees, and obtain required approvals from concerned authorities.
- **Free zones** (Article 6): licensing by the Competent Authority; activities must be practised within the free zone’s geographical borders.
- **Media content standards** (Article 17): includes respect for religion, state institutions, national unity, privacy, public morals; prohibition of false news, rumours, incitement, and harmful content.
- **Advertising** (Article 20): advertisements must not violate content standards and must be clearly identifiable as advertising.
- **Administrative sanctions** (Article 23): warning; fine from AED 1,000 up to AED 1,000,000, doubled on repeat up to AED 2,000,000; closure up to 6 months; cancellation of licences/permits.
- **Transition** (Article 30): Federal Law No. (15) of 1980 on Publications and Publishing is repealed.
- **Adjustment period** (Article 29): affected persons/entities had one year from entry into force to adjust their status.
Note: The retrieved evidence does not show a regulation newer than Decree-Law No. (55) of 2023. If you need later updates or a specific resolution, please provide the regulation/resolution number, title, date, or topic.
Interaction Request:
{ "required": true, "prompt": "请提供法规主题，或具体的法规/内阁决议编号、标题和日期；逐字引用还必须定位到明确条款。", "fields": ["regulation_topic", "regulation_or_resolution_reference", "article_number"], "choices": ["Latest updates", "Summary", "Exact quotation"] }</x:v>
      </x:c>
      <x:c r="M36" s="99" t="n">
        <x:v>20829</x:v>
      </x:c>
      <x:c r="N36" s="99" t="n">
        <x:v>5</x:v>
      </x:c>
      <x:c r="O36" s="96" t="str">
        <x:v>latest 判断包含法规名称和生效日期。</x:v>
      </x:c>
      <x:c r="P36" s="96" t="str">
        <x:v>## Answer
The latest media regulation identified in the retrieved UMC knowledge base is **Federal Decree by Law No. (55) of 2023 Regulating Media**, which entered into force on **01/12/2023** and repeals Federal Law No. (15) of 1980 Concerning Publications and Publishing.
## Verified evidence
- **Scope**: Applies to all media activities in the UAE, including free zones (Article 2, 6).
- **Media activities covered** (Article 8): radio and TV broadcasting (including IPTV, OTT, VOD), video/arcade games, films and artistic works, newspapers and publications, book fairs, electronic and digital media, photography, and other activities set by the Executive Regulation.
- **Licensing**: The UAE Media Council and the Competent Authority issue licences/permits; free-zone media activities are licensed within the free zone's geographical borders and remain subject to oversight (Articles 5, 6, 9–18).
- **Content standards** (Article 17): respect for the Divine Entity, religions, state symbols, national identity and public morals; prohibition of false news, rumours, incitement, hate, privacy violations, and content harming the economy or foreign relations.
- **Advertising** (Article 20): all advertising must comply with media content standards and be clearly identifiable as advertising.
- **Sanctions** (Article 23): warning; administrative fine from AED 1,000 to AED 1,000,000, doubled on repeat up to AED 2,000,000; closure up to six months; cancellation of licences/permits.
- **Compliance period** (Article 29): persons and institutions had one year from entry into force to adjust their status, extendable by Cabinet resolution.
## Limitation
The retrieved evidence covers the Decree-Law text. Executive Regulation details, fee schedules, and the violations/sanctions regulation under Article 24 are not included in this result.
## Next interaction
If you need a specific area, exact quotation, or an update on implementing regulations, please provide a topic, regulation/resolution number, or article number.</x:v>
      </x:c>
      <x:c r="Q36" s="99" t="n">
        <x:v>19863</x:v>
      </x:c>
      <x:c r="R36" s="96" t="str">
        <x:v>请提供法规主题，或具体的法规/内阁决议编号、标题和日期；逐字引用还必须定位到明确条款。
字段：regulation_topic, regulation_or_resolution_reference, article_number
选项：Latest updates / Summary / Exact quotation</x:v>
      </x:c>
    </x:row>
    <x:row r="37" ht="98" customHeight="1">
      <x:c r="A37" s="99" t="n">
        <x:v>36</x:v>
      </x:c>
      <x:c r="B37" s="96" t="str">
        <x:v>List the new media rules</x:v>
      </x:c>
      <x:c r="C37" s="99" t="str">
        <x:v>knowledge</x:v>
      </x:c>
      <x:c r="D37" s="99" t="str">
        <x:v>latest_regulations</x:v>
      </x:c>
      <x:c r="E37" s="99" t="str">
        <x:v>BM25 + Vector + Graph / RRF</x:v>
      </x:c>
      <x:c r="F37" s="99" t="str">
        <x:v>mailgraph-6b2f08d763c8fe9a35c83b6d9ee5f628</x:v>
      </x:c>
      <x:c r="G37" s="99" t="n">
        <x:v>8</x:v>
      </x:c>
      <x:c r="H37" s="99" t="str">
        <x:v>bm25=30; vector=30; graph=30</x:v>
      </x:c>
      <x:c r="I37" s="99" t="str">
        <x:v>无</x:v>
      </x:c>
      <x:c r="J37" s="99" t="n">
        <x:v>4</x:v>
      </x:c>
      <x:c r="K37" s="96" t="str">
        <x:v>未把无日期内容直接标为新规。</x:v>
      </x:c>
      <x:c r="L37" s="96" t="str">
        <x:v>The retrieved knowledge evidence does not contain a single consolidated "new media rules" list, and no source in the evidence carries a publication/effective date that would let me label it as new. Here is what is verified in the evidence, separated from general guidance.
**Verified findings**
1. **Federal Decree-Law No. 55 of 2023 Regulating Media** (مرسوم بقانون اتحادي رقم 55 لسنة 2023 بشأن تنظيم الإعلام) – This is the core media regulation found in the knowledge base. The retrieved excerpt covers **Article 1 (Definitions)** only. The evidence does not include its publication/effective date or a full article list, so I cannot call it "the latest" or enumerate its rules beyond the definitional extract.
2. **Media License modification service rules** (internal knowledge file) – These are operational service rules, not new media regulations:
   - Modification is allowed only when the license status is **Active** or **Expire Soon**; Expired, Suspended, and Cancelled licenses are not eligible.
   - A new modification cannot be submitted if another service for the same license/series is already in progress.
   - Modification scope varies by service, e.g.:
     - **8007 Individual Social Media Permit Modification** – Social Media Accounts only.
     - **8006 Establishment Social Media Permit Modification** – establishment info + Social Media Accounts.
     - **1203 Newspaper/Magazine Modification** – establishment info, Language &amp; Name List (minimum 1 group, maximum 2, no duplicate languages), and Chief Editor.
     - **Radio and TV Modification** – establishment info and Chief Editor.
     - **Commercial Nature Modification** – establishment info + adding Media Activity.
   - Listed modification services are **fixed AED 200**, including 1203.
3. **Advertiser-related rule** – The Federal Law of 2020 on Consumer Protection applies to operations carried out by the advertiser inside the State, and requires the advertiser to adjust status within one year from the effective date (graph evidence, partial).
Note: Two retrieved items (UAE Information Assurance Regulation and Digital Data Interoperability Standards) are unrelated to media regulation and were not used.
**Gap** – To give you the actual "new media rules", I need a specific topic, or a regulation/cabinet resolution number, title, and date. For exact quotations, the specific article must also be identified.
Interaction Request:
{"required":true,"prompt":"请提供法规主题，或具体的法规/内阁决议编号、标题和日期；逐字引用还必须定位到明确条款。","fields":["regulation_topic","regulation_or_resolution_reference","article_number"],"choices":["Latest updates","Summary","Exact quotation"],"evidenceAvailable":true}</x:v>
      </x:c>
      <x:c r="M37" s="99" t="n">
        <x:v>31009</x:v>
      </x:c>
      <x:c r="N37" s="99" t="n">
        <x:v>4</x:v>
      </x:c>
      <x:c r="O37" s="96" t="str">
        <x:v>未把无日期内容直接标为新规。</x:v>
      </x:c>
      <x:c r="P37" s="96" t="str">
        <x:v>## Answer
The retrieved evidence does not support a single, dated list of “new media rules.” What is verified is that the knowledge base contains the UAE **Federal Decree-Law No. 55 of 2023 Regulating Media** (retrieved as an Arabic PDF), but only the opening/definitions portion is available in this search — no numbered regulatory articles were retrieved.
Separately, the evidence contains **media licence modification service rules**, which are operational rules rather than new media regulations:
- Modification is only allowed when the licence status is **Active** or **Expire Soon** (not Expired, Suspended, or Cancelled).
- No new modification request can be filed while another request for the same licence/series is in progress.
- Each modification service is scoped; e.g. Individual Social Media Licence Modification only allows editing Social Media Accounts; 1203 Newspaper/Magazine Modification allows Establishment Information, Language &amp; Name List, and Chief Editor.
- For service **1203**, the Language &amp; Name List must keep at least 1 group and cannot exceed 2 groups; languages cannot be duplicated.
- Modification fees verified in evidence: AED 200 for the listed modification services (1203 fixed at AED 200).
## Verified evidence
- **C4**: Federal Decree-Law No. 55 of 2023 Regulating Media – document exists in the knowledge base; retrieved text covers only the preamble and Article 1 (definitions).
- **C1–C3**: Licence modification service rules (eligibility, 1203 Language &amp; Name List limits, change-summary display, fee table).
## Limitation
- The evidence does not provide a dated list of “new” rules; the retrieval is a mix of the 2023 Decree (fragment) and service-design rules, plus some unrelated records (UAE Information Assurance Regulation, Digital Data Interoperability) that are not media rules.
## Next interaction
To list the actual new rules, please provide one of the following:
- The regulation/resolution number, title, and date (e.g. Cabinet Resolution or Federal Decree-Law No. 55 of 2023, specific article numbers);
- A topic (e.g. content standards, licensing, advertising, penalties);
- The output you want: **Latest updates**, **Summary**, or **Exact quotation**.</x:v>
      </x:c>
      <x:c r="Q37" s="99" t="n">
        <x:v>24978</x:v>
      </x:c>
      <x:c r="R37" s="96" t="str">
        <x:v>请提供法规主题，或具体的法规/内阁决议编号、标题和日期；逐字引用还必须定位到明确条款。
字段：regulation_topic, regulation_or_resolution_reference, article_number
选项：Latest updates / Summary / Exact quotation</x:v>
      </x:c>
    </x:row>
    <x:row r="38" ht="98" customHeight="1">
      <x:c r="A38" s="99" t="n">
        <x:v>37</x:v>
      </x:c>
      <x:c r="B38" s="96" t="str">
        <x:v>Quote Article 7.2 exactly</x:v>
      </x:c>
      <x:c r="C38" s="99" t="str">
        <x:v>knowledge</x:v>
      </x:c>
      <x:c r="D38" s="99" t="str">
        <x:v>latest_regulations</x:v>
      </x:c>
      <x:c r="E38" s="99" t="str">
        <x:v>BM25 + Vector + Graph / RRF</x:v>
      </x:c>
      <x:c r="F38" s="99" t="str">
        <x:v>mailgraph-6b2f08d763c8fe9a35c83b6d9ee5f628</x:v>
      </x:c>
      <x:c r="G38" s="99" t="n">
        <x:v>8</x:v>
      </x:c>
      <x:c r="H38" s="99" t="str">
        <x:v>bm25=30; vector=30; graph=30</x:v>
      </x:c>
      <x:c r="I38" s="99" t="str">
        <x:v>无</x:v>
      </x:c>
      <x:c r="J38" s="99" t="n">
        <x:v>1</x:v>
      </x:c>
      <x:c r="K38" s="96" t="str">
        <x:v>严重：未确认法规来源，擅自把 Article 7.2 解释为消费者保护法条款并逐字引用。</x:v>
      </x:c>
      <x:c r="L38" s="96" t="str">
        <x:v>Article (7), Clause 2 of Federal Law No. (15) of 2020 Concerning Consumer Protection, as retrieved verbatim:
&gt; "2. If the use of the commodity involves risk, the provider shall be required to warn against this clearly as prescribed by the Executive Regulation of this Law."
This is the only Article 7.2 returned in the evidence. If you intend a different regulation (e.g., a Cabinet Resolution or a media-specific rule), please provide the reference.
---
Interaction Request:
- Prompt: 请提供法规主题，或具体的法规/内阁决议编号、标题和日期；逐字引用还必须定位到明确条款。
- Fields: regulation_topic, regulation_or_resolution_reference, article_number
- Choices: Latest updates, Summary, Exact quotation
- Evidence available: true</x:v>
      </x:c>
      <x:c r="M38" s="99" t="n">
        <x:v>17672</x:v>
      </x:c>
      <x:c r="N38" s="99" t="n">
        <x:v>1</x:v>
      </x:c>
      <x:c r="O38" s="96" t="str">
        <x:v>严重：未确认法规来源，擅自把 Article 7.2 解释为消费者保护法条款并逐字引用。</x:v>
      </x:c>
      <x:c r="P38" s="96" t="str">
        <x:v>**Answer**
The exact text of Article 7, clause 2, as retrieved from **Federal Law No. (15) of 2020 on Consumer Protection** (Article 7 – Labelling):
&gt; "If the use of the commodity involves risk, the provider shall be required to warn against this clearly as prescribed by the Executive Regulation of this Law."
**Verified evidence**
- Source: Federal Law of 2020 on Consumer Protection, Article (7), Clause 2 (retrieved chunk C3).
- This is a consumer-protection provision, not a media-regulatory provision. No Article 7.2 from a UAE media regulation was returned in the retrieved evidence.
**Limitation**
Your request did not name a specific law or resolution. Several documents in the evidence base contain articles numbered 7 or 7.2 (e.g., consumer protection, copyright, and other decree-laws), so the quote above is tied only to the consumer protection law retrieved.
**Next interaction**
Please provide the regulation topic, or the specific regulation/resolution number, title, and date, plus the article number you want quoted exactly.</x:v>
      </x:c>
      <x:c r="Q38" s="99" t="n">
        <x:v>16212</x:v>
      </x:c>
      <x:c r="R38" s="96" t="str">
        <x:v>请提供法规主题，或具体的法规/内阁决议编号、标题和日期；逐字引用还必须定位到明确条款。
字段：regulation_topic, regulation_or_resolution_reference, article_number
选项：Latest updates / Summary / Exact quotation</x:v>
      </x:c>
    </x:row>
    <x:row r="39" ht="98" customHeight="1">
      <x:c r="A39" s="100" t="n">
        <x:v>38</x:v>
      </x:c>
      <x:c r="B39" s="97" t="str">
        <x:v>What does the cabinet resolution say exactly?</x:v>
      </x:c>
      <x:c r="C39" s="100" t="str">
        <x:v>knowledge</x:v>
      </x:c>
      <x:c r="D39" s="100" t="str">
        <x:v>latest_regulations</x:v>
      </x:c>
      <x:c r="E39" s="100" t="str">
        <x:v>BM25 + Vector + Graph / RRF</x:v>
      </x:c>
      <x:c r="F39" s="100" t="str">
        <x:v>mailgraph-6b2f08d763c8fe9a35c83b6d9ee5f628</x:v>
      </x:c>
      <x:c r="G39" s="100" t="n">
        <x:v>8</x:v>
      </x:c>
      <x:c r="H39" s="100" t="str">
        <x:v>bm25=30; vector=30; graph=30</x:v>
      </x:c>
      <x:c r="I39" s="100" t="str">
        <x:v>无</x:v>
      </x:c>
      <x:c r="J39" s="100" t="n">
        <x:v>5</x:v>
      </x:c>
      <x:c r="K39" s="97" t="str">
        <x:v>识别多个 Cabinet Resolution，正确要求编号/标题。</x:v>
      </x:c>
      <x:c r="L39" s="97" t="str">
        <x:v>I can’t identify a single “cabinet resolution” from your question. The knowledge search returned several different Cabinet resolutions, each on a different topic:
- **Cabinet Resolution No. (47) of 2022** – Executive Regulations of Federal Decree-Law No. (38) of 2021 on Copyright and Neighboring Rights. Retrieved content includes definitions and Work Right Register registration procedures.
- **Cabinet Resolution No. (52) of 2018** – Executive Regulations of Federal Law No. (3) of 2016 on Child Rights Law (Wadeema). Retrieved content includes key definitions and child-labour conditions.
- **Cabinet Resolution No. (57) of 2022** – Executive Regulations of Federal Decree by Law No. (36) of 2021 on Trademarks. Retrieved content includes definitions and trademark registration conditions/procedures.
- **Cabinet Resolution No. (66) of 2023** – Executive Regulations of Federal Law No. (15) of 2020 on Consumer Protection. Retrieved content includes definitions, labelling, pricing, and provider obligations.
If you meant “the latest” resolution, the retrieved evidence does not mark any of these as the newest or provide a publication date, so I cannot label one as latest.
For an exact quotation, I need the specific resolution number, title, date, or article number.
**Interaction request:**
- Please provide the regulation topic, or the specific regulation/cabinet resolution number, title, and date; for a verbatim quote, also the article number.
- Fields: `regulation_topic`, `regulation_or_resolution_reference`, `article_number`
- Choices: Latest updates / Summary / Exact quotation</x:v>
      </x:c>
      <x:c r="M39" s="100" t="n">
        <x:v>30069</x:v>
      </x:c>
      <x:c r="N39" s="100" t="n">
        <x:v>5</x:v>
      </x:c>
      <x:c r="O39" s="97" t="str">
        <x:v>识别多个 Cabinet Resolution，正确要求编号/标题。</x:v>
      </x:c>
      <x:c r="P39" s="97" t="str">
        <x:v>**Answer**  
Your question is ambiguous: the retrieved evidence contains several different UAE Cabinet Resolutions, not one specific resolution. Please tell me which Cabinet Resolution you mean — by topic, resolution number, title, or date. For an exact quotation, also give the article number.
**Verified evidence**  
The current retrieval returns Cabinet Resolutions including:  
- Cabinet Resolution No. (47) of 2022 — Executive Regulations of Federal Decree-Law No. (38) of 2021 on Copyright and Neighboring Rights  
- Cabinet Resolution No. (52) of 2018 — Executive Regulations of Federal Law No. (3) of 2016 on Child Rights (Wadeema)  
- Cabinet Resolution No. (57) of 2022 — Executive Regulations of Federal Decree by Law No. (36) of 2021 on Trademarks  
- Cabinet Resolution No. (66) of 2023 — Executive Regulations of Federal Law No. (15) of 2020 on Consumer Protection  
**Limitation**  
Because no specific Cabinet Resolution was named, I cannot provide an exact quote or summary.
**Next interaction**  
Please provide one of the following so I can retrieve the correct text:  
- Regulation topic  
- Regulation/resolution number, title, or date  
- Article number, if you need an exact quotation</x:v>
      </x:c>
      <x:c r="Q39" s="100" t="n">
        <x:v>26616</x:v>
      </x:c>
      <x:c r="R39" s="97" t="str">
        <x:v>请提供法规主题，或具体的法规/内阁决议编号、标题和日期；逐字引用还必须定位到明确条款。
字段：regulation_topic, regulation_or_resolution_reference, article_number
选项：Latest updates / Summary / Exact quotation</x:v>
      </x:c>
    </x:row>
  </x:sheetData>
  <x:conditionalFormatting sqref="J2:J39">
    <x:cfRule type="colorScale" priority="1">
      <x:colorScale>
        <x:cfvo type="min"/>
        <x:cfvo type="percentile" val="50"/>
        <x:cfvo type="max"/>
        <x:color rgb="FFF7B0A8"/>
        <x:color rgb="FFFFF0A8"/>
        <x:color rgb="FFA9DFBF"/>
      </x:colorScale>
    </x:cfRule>
  </x:conditionalFormatting>
  <x:conditionalFormatting sqref="N2:N39">
    <x:cfRule type="colorScale" priority="2">
      <x:colorScale>
        <x:cfvo type="min"/>
        <x:cfvo type="percentile" val="50"/>
        <x:cfvo type="max"/>
        <x:color rgb="FFF7B0A8"/>
        <x:color rgb="FFFFF0A8"/>
        <x:color rgb="FFA9DFBF"/>
      </x:colorScale>
    </x:cfRule>
  </x:conditionalFormatting>
  <x:pageMargins left="0.7" right="0.7" top="0.75" bottom="0.75" header="0.3" footer="0.3"/>
  <x:tableParts count="1">
    <x:tablePart xmlns:r="http://schemas.openxmlformats.org/officeDocument/2006/relationships" r:id="R0c9b7dd646a34546"/>
  </x:tableParts>
</x:worksheet>
</file>