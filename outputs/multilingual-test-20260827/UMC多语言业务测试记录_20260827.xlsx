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9869ce225144f9" /></Relationships>
</file>

<file path=xl/workbook.xml><?xml version="1.0" encoding="utf-8"?>
<x:workbook xmlns:x="http://schemas.openxmlformats.org/spreadsheetml/2006/main">
  <x:sheets>
    <x:sheet xmlns:r="http://schemas.openxmlformats.org/officeDocument/2006/relationships" name="测试总览" sheetId="1" r:id="R65de7211e9e649e2"/>
    <x:sheet xmlns:r="http://schemas.openxmlformats.org/officeDocument/2006/relationships" name="多语言用例" sheetId="2" r:id="Rc627e579103f4c71"/>
    <x:sheet xmlns:r="http://schemas.openxmlformats.org/officeDocument/2006/relationships" name="业务覆盖矩阵" sheetId="3" r:id="Rf0c888f07b7a47f5"/>
    <x:sheet xmlns:r="http://schemas.openxmlformats.org/officeDocument/2006/relationships" name="配置快照" sheetId="4" r:id="R8a3d4df5ea1a4d6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5">
    <x:font>
      <x:sz val="11"/>
      <x:name val="Carlito"/>
    </x:font>
    <x:font>
      <x:b/>
      <x:sz val="16"/>
      <x:color rgb="FFFFFFFF"/>
      <x:name val="Carlito"/>
    </x:font>
    <x:font>
      <x:i/>
      <x:sz val="11"/>
      <x:color rgb="FF1F4E79"/>
      <x:name val="Carlito"/>
    </x:font>
    <x:font>
      <x:b/>
      <x:sz val="11"/>
      <x:color rgb="FFFFFFFF"/>
      <x:name val="Carlito"/>
    </x:font>
    <x:font>
      <x:b/>
      <x:sz val="11"/>
      <x:color rgb="FF1F4E79"/>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F3F6FA"/>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0" borderId="2"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0" fillId="0" borderId="2" xfId="0" applyNumberFormat="1" applyFont="1" applyFill="1" applyBorder="1" applyAlignment="1">
      <x:alignment wrapText="1"/>
    </x:xf>
    <x:xf numFmtId="200" fontId="0" fillId="0" borderId="2" xfId="0" applyNumberFormat="1" applyFont="1" applyFill="1" applyBorder="1" applyAlignment="1">
      <x:alignment wrapText="1"/>
    </x:xf>
    <x:xf numFmtId="201"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5">
    <x:dxf>
      <x:font>
        <x:color rgb="FF9C0006"/>
      </x:font>
      <x:fill>
        <x:patternFill>
          <x:bgColor rgb="FFF4CCCC"/>
        </x:patternFill>
      </x:fill>
    </x:dxf>
    <x:dxf>
      <x:font>
        <x:color rgb="FF006100"/>
      </x:font>
      <x:fill>
        <x:patternFill>
          <x:bgColor rgb="FFE2F0D9"/>
        </x:patternFill>
      </x:fill>
    </x:dxf>
    <x:dxf>
      <x:font>
        <x:b/>
        <x:color rgb="FF006100"/>
      </x:font>
      <x:fill>
        <x:patternFill>
          <x:bgColor rgb="FFE2F0D9"/>
        </x:patternFill>
      </x:fill>
    </x:dxf>
    <x:dxf>
      <x:font>
        <x:b/>
        <x:color rgb="FF9C6500"/>
      </x:font>
      <x:fill>
        <x:patternFill>
          <x:bgColor rgb="FFFFF2CC"/>
        </x:patternFill>
      </x:fill>
    </x:dxf>
    <x:dxf>
      <x:font>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8a3952b2ad464d" /><Relationship Type="http://schemas.openxmlformats.org/officeDocument/2006/relationships/theme" Target="/xl/theme/theme1.xml" Id="R20b013af1f8241ab" /><Relationship Type="http://schemas.microsoft.com/office/2022/11/relationships/FeaturePropertyBag" Target="/xl/featurePropertyBag/featurePropertyBag.xml" Id="R152c991c2c9e4e2d" /><Relationship Type="http://schemas.openxmlformats.org/officeDocument/2006/relationships/sharedStrings" Target="/xl/sharedStrings.xml" Id="Re2c2d5c73a2b41f3" /><Relationship Type="http://schemas.openxmlformats.org/officeDocument/2006/relationships/worksheet" Target="/xl/worksheets/sheet1.xml" Id="R65de7211e9e649e2" /><Relationship Type="http://schemas.openxmlformats.org/officeDocument/2006/relationships/worksheet" Target="/xl/worksheets/sheet2.xml" Id="Rc627e579103f4c71" /><Relationship Type="http://schemas.openxmlformats.org/officeDocument/2006/relationships/worksheet" Target="/xl/worksheets/sheet3.xml" Id="Rf0c888f07b7a47f5" /><Relationship Type="http://schemas.openxmlformats.org/officeDocument/2006/relationships/worksheet" Target="/xl/worksheets/sheet4.xml" Id="R8a3d4df5ea1a4d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ultilingualCases" displayName="MultilingualCases" ref="A1:V39" headerRowCount="1" totalsRowCount="0" totalsRowShown="0">
  <x:tableColumns count="22">
    <x:tableColumn id="1" name="用例ID"/>
    <x:tableColumn id="2" name="语言"/>
    <x:tableColumn id="3" name="业务域"/>
    <x:tableColumn id="4" name="问题"/>
    <x:tableColumn id="5" name="Skill"/>
    <x:tableColumn id="6" name="类别"/>
    <x:tableColumn id="7" name="模式"/>
    <x:tableColumn id="8" name="预期"/>
    <x:tableColumn id="9" name="知识库"/>
    <x:tableColumn id="10" name="目录ID"/>
    <x:tableColumn id="11" name="三路检索"/>
    <x:tableColumn id="12" name="证据条数"/>
    <x:tableColumn id="13" name="top_k"/>
    <x:tableColumn id="14" name="首位来源"/>
    <x:tableColumn id="15" name="路由匹配"/>
    <x:tableColumn id="16" name="观察Skill"/>
    <x:tableColumn id="17" name="Tool成功"/>
    <x:tableColumn id="18" name="完成"/>
    <x:tableColumn id="19" name="评分(5分)"/>
    <x:tableColumn id="20" name="耗时(ms)"/>
    <x:tableColumn id="21" name="助手回答"/>
    <x:tableColumn id="22" name="备注"/>
  </x:tableColumns>
  <x:tableStyleInfo name="TableStyleMedium2" showFirstColumn="0" showLastColumn="0" showRowStripes="1" showColumnStripes="0"/>
</x:table>
</file>

<file path=xl/tables/table2.xml><?xml version="1.0" encoding="utf-8"?>
<x:table xmlns:x="http://schemas.openxmlformats.org/spreadsheetml/2006/main" id="2" name="BusinessCoverage" displayName="BusinessCoverage" ref="A3:I22" headerRowCount="1" totalsRowCount="0" totalsRowShown="0">
  <x:tableColumns count="9">
    <x:tableColumn id="1" name="业务域"/>
    <x:tableColumn id="2" name="English 用例"/>
    <x:tableColumn id="3" name="Arabic 用例"/>
    <x:tableColumn id="4" name="路由匹配"/>
    <x:tableColumn id="5" name="平均评分"/>
    <x:tableColumn id="6" name="知识证据"/>
    <x:tableColumn id="7" name="来源样例"/>
    <x:tableColumn id="8" name="覆盖目标"/>
    <x:tableColumn id="9" name="结论"/>
  </x:tableColumns>
  <x:tableStyleInfo name="TableStyleMedium2" showFirstColumn="0" showLastColumn="0" showRowStripes="1" showColumnStripes="0"/>
</x:table>
</file>

<file path=xl/tables/table3.xml><?xml version="1.0" encoding="utf-8"?>
<x:table xmlns:x="http://schemas.openxmlformats.org/spreadsheetml/2006/main" id="3" name="ConfigSnapshot" displayName="ConfigSnapshot" ref="A3:I19" headerRowCount="1" totalsRowCount="0" totalsRowShown="0">
  <x:tableColumns count="9">
    <x:tableColumn id="1" name="Key"/>
    <x:tableColumn id="2" name="名称"/>
    <x:tableColumn id="3" name="环境变量"/>
    <x:tableColumn id="4" name="分组"/>
    <x:tableColumn id="5" name="敏感"/>
    <x:tableColumn id="6" name="已配置"/>
    <x:tableColumn id="7" name="当前值"/>
    <x:tableColumn id="8" name="来源"/>
    <x:tableColumn id="9" name="生效方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7cc38c907841eb" /></Relationships>
</file>

<file path=xl/worksheets/_rels/sheet3.xml.rels>&#65279;<?xml version="1.0" encoding="utf-8"?><Relationships xmlns="http://schemas.openxmlformats.org/package/2006/relationships"><Relationship Type="http://schemas.openxmlformats.org/officeDocument/2006/relationships/table" Target="/xl/tables/table2.xml" Id="R7accb39987ec4675" /></Relationships>
</file>

<file path=xl/worksheets/_rels/sheet4.xml.rels>&#65279;<?xml version="1.0" encoding="utf-8"?><Relationships xmlns="http://schemas.openxmlformats.org/package/2006/relationships"><Relationship Type="http://schemas.openxmlformats.org/officeDocument/2006/relationships/table" Target="/xl/tables/table3.xml" Id="R4d8266d1229d4b0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8" hidden="0" customWidth="1"/>
    <x:col min="5" max="5" width="44" hidden="0" customWidth="1"/>
    <x:col min="6" max="6" width="14" hidden="0" customWidth="1"/>
    <x:col min="7" max="7" width="42" hidden="0" customWidth="1"/>
    <x:col min="8" max="8" width="22" hidden="0" customWidth="1"/>
  </x:cols>
  <x:sheetData>
    <x:row r="1" ht="30" customHeight="1">
      <x:c r="A1" s="4" t="str">
        <x:v>UMC · English / العربية 多语言业务测试记录</x:v>
      </x:c>
      <x:c r="B1" s="4" t="str">
        <x:v>UMC · English / العربية 多语言业务测试记录</x:v>
      </x:c>
      <x:c r="C1" s="4" t="str">
        <x:v>UMC · English / العربية 多语言业务测试记录</x:v>
      </x:c>
      <x:c r="D1" s="4" t="str">
        <x:v>UMC · English / العربية 多语言业务测试记录</x:v>
      </x:c>
      <x:c r="E1" s="4" t="str">
        <x:v>UMC · English / العربية 多语言业务测试记录</x:v>
      </x:c>
      <x:c r="F1" s="4" t="str">
        <x:v>UMC · English / العربية 多语言业务测试记录</x:v>
      </x:c>
      <x:c r="G1" s="4" t="str">
        <x:v>UMC · English / العربية 多语言业务测试记录</x:v>
      </x:c>
      <x:c r="H1" s="4" t="str">
        <x:v>UMC · English / العربية 多语言业务测试记录</x:v>
      </x:c>
    </x:row>
    <x:row r="2">
      <x:c r="A2" s="6" t="str">
        <x:v>测试时间：2026-08-27｜Docker Compose｜知识库与 Swagger 使用同一服务器 77.242.240.158</x:v>
      </x:c>
      <x:c r="B2" s="6"/>
      <x:c r="C2" s="6"/>
      <x:c r="D2" s="6"/>
      <x:c r="E2" s="6"/>
      <x:c r="F2" s="6"/>
      <x:c r="G2" s="6"/>
      <x:c r="H2" s="6"/>
    </x:row>
    <x:row r="4" ht="30" customHeight="1">
      <x:c r="A4" s="12" t="str">
        <x:v>指标</x:v>
      </x:c>
      <x:c r="B4" s="12" t="str">
        <x:v>结果</x:v>
      </x:c>
      <x:c r="D4" s="12" t="str">
        <x:v>验证范围</x:v>
      </x:c>
      <x:c r="E4" s="12" t="str">
        <x:v>地址/参数</x:v>
      </x:c>
      <x:c r="F4" s="12" t="str">
        <x:v>状态</x:v>
      </x:c>
      <x:c r="G4" s="12" t="str">
        <x:v>说明</x:v>
      </x:c>
      <x:c r="H4" s="12" t="str">
        <x:v>本轮结果</x:v>
      </x:c>
    </x:row>
    <x:row r="5">
      <x:c r="A5" s="21" t="str">
        <x:v>测试用例数</x:v>
      </x:c>
      <x:c r="B5" s="24" t="n">
        <x:f>COUNTA('多语言用例'!A2:A39)</x:f>
        <x:v>38</x:v>
      </x:c>
      <x:c r="D5" s="21" t="str">
        <x:v>知识库服务器</x:v>
      </x:c>
      <x:c r="E5" s="21" t="str">
        <x:v>77.242.240.158:18085</x:v>
      </x:c>
      <x:c r="F5" s="21" t="str">
        <x:v>可用</x:v>
      </x:c>
      <x:c r="G5" s="21" t="str">
        <x:v>/api/platform/api/v1/public/knowledge/search</x:v>
      </x:c>
      <x:c r="H5" s="21" t="str">
        <x:v>实时取证</x:v>
      </x:c>
    </x:row>
    <x:row r="6">
      <x:c r="A6" s="21" t="str">
        <x:v>English 用例数</x:v>
      </x:c>
      <x:c r="B6" s="24" t="n">
        <x:f>COUNTIF('多语言用例'!B2:B39,"en")</x:f>
        <x:v>19</x:v>
      </x:c>
      <x:c r="D6" s="21" t="str">
        <x:v>知识检索</x:v>
      </x:c>
      <x:c r="E6" s="21" t="str">
        <x:v>bm25, graph, vector</x:v>
      </x:c>
      <x:c r="F6" s="21" t="str">
        <x:v>已配置</x:v>
      </x:c>
      <x:c r="G6" s="21" t="str">
        <x:v>每条知识用例固定 top_k=32；上游返回 32 chunks</x:v>
      </x:c>
      <x:c r="H6" s="21" t="str">
        <x:v>证据字段已记录</x:v>
      </x:c>
    </x:row>
    <x:row r="7">
      <x:c r="A7" s="21" t="str">
        <x:v>العربية 用例数</x:v>
      </x:c>
      <x:c r="B7" s="24" t="n">
        <x:f>COUNTIF('多语言用例'!B2:B39,"ar")</x:f>
        <x:v>19</x:v>
      </x:c>
      <x:c r="D7" s="21" t="str">
        <x:v>默认目录</x:v>
      </x:c>
      <x:c r="E7" s="21" t="str">
        <x:v>34a89aa7b43b473d8326cf6540fc3894</x:v>
      </x:c>
      <x:c r="F7" s="21" t="str">
        <x:v>可用</x:v>
      </x:c>
      <x:c r="G7" s="21" t="str">
        <x:v>/umc</x:v>
      </x:c>
      <x:c r="H7" s="21" t="str">
        <x:v>自动从目录树/配置确定</x:v>
      </x:c>
    </x:row>
    <x:row r="8">
      <x:c r="A8" s="21" t="str">
        <x:v>路由匹配</x:v>
      </x:c>
      <x:c r="B8" s="24" t="str">
        <x:f>COUNTIF('多语言用例'!O2:O39,"是")&amp;"/"&amp;B5</x:f>
        <x:v>38/38</x:v>
      </x:c>
      <x:c r="D8" s="21" t="str">
        <x:v>平台 Swagger</x:v>
      </x:c>
      <x:c r="E8" s="21" t="str">
        <x:v>77.242.240.158:18085/api/platform</x:v>
      </x:c>
      <x:c r="F8" s="21" t="str">
        <x:v>可用</x:v>
      </x:c>
      <x:c r="G8" s="21" t="str">
        <x:v>OpenAPI 369 paths；应用分页可调用</x:v>
      </x:c>
      <x:c r="H8" s="21" t="str">
        <x:v>申请/支付路由已覆盖</x:v>
      </x:c>
    </x:row>
    <x:row r="9">
      <x:c r="A9" s="21" t="str">
        <x:v>全部完成</x:v>
      </x:c>
      <x:c r="B9" s="24" t="str">
        <x:f>COUNTIF('多语言用例'!R2:R39,"是")&amp;"/"&amp;B5</x:f>
        <x:v>38/38</x:v>
      </x:c>
      <x:c r="D9" s="21" t="str">
        <x:v>OCR Tool</x:v>
      </x:c>
      <x:c r="E9" s="21" t="str">
        <x:v>PaddleOCR-VL-1.6</x:v>
      </x:c>
      <x:c r="F9" s="21" t="str">
        <x:v>已配置</x:v>
      </x:c>
      <x:c r="G9" s="21" t="str">
        <x:v>ocr-gateway:8100；需要文件才能执行真实解析</x:v>
      </x:c>
      <x:c r="H9" s="21" t="str">
        <x:v>OCR 路由已覆盖</x:v>
      </x:c>
    </x:row>
    <x:row r="10">
      <x:c r="A10" s="21" t="str">
        <x:v>知识库用例数</x:v>
      </x:c>
      <x:c r="B10" s="24" t="n">
        <x:f>COUNTIF('多语言用例'!I2:I39,"是")</x:f>
        <x:v>18</x:v>
      </x:c>
      <x:c r="D10" s="21" t="str">
        <x:v>模型</x:v>
      </x:c>
      <x:c r="E10" s="21" t="str">
        <x:v>deepseek-v4-flash</x:v>
      </x:c>
      <x:c r="F10" s="21" t="str">
        <x:v>已配置</x:v>
      </x:c>
      <x:c r="G10" s="21" t="str">
        <x:v>OpenAI-compatible streaming</x:v>
      </x:c>
      <x:c r="H10" s="21" t="str">
        <x:v>38 条均完成</x:v>
      </x:c>
    </x:row>
    <x:row r="11">
      <x:c r="A11" s="21" t="str">
        <x:v>知识库证据 ≥ 1</x:v>
      </x:c>
      <x:c r="B11" s="24" t="n">
        <x:f>COUNTIFS('多语言用例'!I2:I39,"是",'多语言用例'!L2:L39,"&gt;0")</x:f>
        <x:v>18</x:v>
      </x:c>
      <x:c r="D11" s="21" t="str">
        <x:v>DB / Redis</x:v>
      </x:c>
      <x:c r="E11" s="21" t="str">
        <x:v>PostgreSQL + Redis</x:v>
      </x:c>
      <x:c r="F11" s="21" t="str">
        <x:v>可用</x:v>
      </x:c>
      <x:c r="G11" s="21" t="str">
        <x:v>URL 在配置页可编辑；修改后需重启容器</x:v>
      </x:c>
      <x:c r="H11" s="21" t="str">
        <x:v>会话与事件可持久化</x:v>
      </x:c>
    </x:row>
    <x:row r="12">
      <x:c r="A12" s="21" t="str">
        <x:v>Tool 成功</x:v>
      </x:c>
      <x:c r="B12" s="24" t="n">
        <x:f>COUNTIF('多语言用例'!Q2:Q39,"是")</x:f>
        <x:v>20</x:v>
      </x:c>
      <x:c r="D12" s="21" t="str">
        <x:v>认证限制</x:v>
      </x:c>
      <x:c r="E12" s="21" t="str">
        <x:v>UMC Bearer Token</x:v>
      </x:c>
      <x:c r="F12" s="21" t="str">
        <x:v>待提供</x:v>
      </x:c>
      <x:c r="G12" s="21" t="str">
        <x:v>账户/写入类操作不使用伪造数据</x:v>
      </x:c>
      <x:c r="H12" s="21" t="str">
        <x:v>收集/确认流程通过</x:v>
      </x:c>
    </x:row>
    <x:row r="13">
      <x:c r="A13" s="21" t="str">
        <x:v>5 分题数</x:v>
      </x:c>
      <x:c r="B13" s="24" t="n">
        <x:f>COUNTIF('多语言用例'!S2:S39,5)</x:f>
        <x:v>36</x:v>
      </x:c>
      <x:c r="D13" s="21" t="str">
        <x:v>批测结果</x:v>
      </x:c>
      <x:c r="E13" s="21" t="str">
        <x:v>38 条并发上限 6</x:v>
      </x:c>
      <x:c r="F13" s="21" t="str">
        <x:v>通过</x:v>
      </x:c>
      <x:c r="G13" s="21" t="str">
        <x:v>路由、Tool、回答、安全门禁综合评分</x:v>
      </x:c>
      <x:c r="H13" s="21" t="str">
        <x:v>4.95 / 5</x:v>
      </x:c>
    </x:row>
    <x:row r="14">
      <x:c r="A14" s="21" t="str">
        <x:v>综合评分（5分制）</x:v>
      </x:c>
      <x:c r="B14" s="25" t="n">
        <x:f>AVERAGE('多语言用例'!S2:S39)</x:f>
        <x:v>4.947368421052632</x:v>
      </x:c>
    </x:row>
    <x:row r="15">
      <x:c r="A15" s="21" t="str">
        <x:v>失败/超时数</x:v>
      </x:c>
      <x:c r="B15" s="26" t="n">
        <x:f>COUNTIF('多语言用例'!R2:R39,"否")</x:f>
        <x:v>0</x:v>
      </x:c>
    </x:row>
    <x:row r="18">
      <x:c r="A18" s="28" t="str">
        <x:v>覆盖结论</x:v>
      </x:c>
      <x:c r="B18" s="28"/>
      <x:c r="C18" s="28"/>
      <x:c r="D18" s="28"/>
      <x:c r="E18" s="28"/>
      <x:c r="F18" s="28"/>
      <x:c r="G18" s="28"/>
      <x:c r="H18" s="28"/>
    </x:row>
    <x:row r="19" ht="42" customHeight="1">
      <x:c r="A19" s="31" t="str">
        <x:v>本批包含 19 个业务域 × English/العربية 两种语言，覆盖法规摘要与逐字引用、摄影/报刊/广播许可、资格与费用、续期、申请状态、待付款、许可证下载、收据、罚款支付/申诉、投诉、咨询跟进、支付技术问题、Profile 审核和 PaddleOCR-VL-1.6 材料识别。38/38 路由匹配、38/38 完成，平均 4.95/5。需要真实客户身份的查询/写入动作仍遵守确认和 Token 门禁。</x:v>
      </x:c>
      <x:c r="B19" s="31"/>
      <x:c r="C19" s="31"/>
      <x:c r="D19" s="31"/>
      <x:c r="E19" s="31"/>
      <x:c r="F19" s="31"/>
      <x:c r="G19" s="31"/>
      <x:c r="H19" s="31"/>
    </x:row>
    <x:row r="20" ht="42" customHeight="1">
      <x:c r="A20" s="31"/>
      <x:c r="B20" s="31"/>
      <x:c r="C20" s="31"/>
      <x:c r="D20" s="31"/>
      <x:c r="E20" s="31"/>
      <x:c r="F20" s="31"/>
      <x:c r="G20" s="31"/>
      <x:c r="H20" s="31"/>
    </x:row>
    <x:row r="21" ht="42" customHeight="1">
      <x:c r="A21" s="31"/>
      <x:c r="B21" s="31"/>
      <x:c r="C21" s="31"/>
      <x:c r="D21" s="31"/>
      <x:c r="E21" s="31"/>
      <x:c r="F21" s="31"/>
      <x:c r="G21" s="31"/>
      <x:c r="H21" s="31"/>
    </x:row>
  </x:sheetData>
  <x:mergeCells>
    <x:mergeCell ref="A1:H1"/>
    <x:mergeCell ref="A2:H2"/>
    <x:mergeCell ref="A18:H18"/>
    <x:mergeCell ref="A19:H21"/>
  </x:mergeCells>
  <x:conditionalFormatting sqref="B14:B14">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22" hidden="0" customWidth="1"/>
    <x:col min="4" max="4" width="44" hidden="0" customWidth="1"/>
    <x:col min="5" max="5" width="25" hidden="0" customWidth="1"/>
    <x:col min="6" max="6" width="13" hidden="0" customWidth="1"/>
    <x:col min="7" max="7" width="13" hidden="0" customWidth="1"/>
    <x:col min="8" max="8" width="46" hidden="0" customWidth="1"/>
    <x:col min="9" max="9" width="10" hidden="0" customWidth="1"/>
    <x:col min="10" max="10" width="36" hidden="0" customWidth="1"/>
    <x:col min="11" max="11" width="23" hidden="0" customWidth="1"/>
    <x:col min="12" max="12" width="10" hidden="0" customWidth="1"/>
    <x:col min="13" max="13" width="9" hidden="0" customWidth="1"/>
    <x:col min="14" max="14" width="42" hidden="0" customWidth="1"/>
    <x:col min="15" max="15" width="10" hidden="0" customWidth="1"/>
    <x:col min="16" max="16" width="24" hidden="0" customWidth="1"/>
    <x:col min="17" max="17" width="10" hidden="0" customWidth="1"/>
    <x:col min="18" max="18" width="10" hidden="0" customWidth="1"/>
    <x:col min="19" max="19" width="10" hidden="0" customWidth="1"/>
    <x:col min="20" max="20" width="12" hidden="0" customWidth="1"/>
    <x:col min="21" max="21" width="70" hidden="0" customWidth="1"/>
    <x:col min="22" max="22" width="32" hidden="0" customWidth="1"/>
  </x:cols>
  <x:sheetData>
    <x:row r="1" ht="34" customHeight="1">
      <x:c r="A1" s="12" t="str">
        <x:v>用例ID</x:v>
      </x:c>
      <x:c r="B1" s="12" t="str">
        <x:v>语言</x:v>
      </x:c>
      <x:c r="C1" s="12" t="str">
        <x:v>业务域</x:v>
      </x:c>
      <x:c r="D1" s="12" t="str">
        <x:v>问题</x:v>
      </x:c>
      <x:c r="E1" s="12" t="str">
        <x:v>Skill</x:v>
      </x:c>
      <x:c r="F1" s="12" t="str">
        <x:v>类别</x:v>
      </x:c>
      <x:c r="G1" s="12" t="str">
        <x:v>模式</x:v>
      </x:c>
      <x:c r="H1" s="12" t="str">
        <x:v>预期</x:v>
      </x:c>
      <x:c r="I1" s="12" t="str">
        <x:v>知识库</x:v>
      </x:c>
      <x:c r="J1" s="12" t="str">
        <x:v>目录ID</x:v>
      </x:c>
      <x:c r="K1" s="12" t="str">
        <x:v>三路检索</x:v>
      </x:c>
      <x:c r="L1" s="12" t="str">
        <x:v>证据条数</x:v>
      </x:c>
      <x:c r="M1" s="12" t="str">
        <x:v>top_k</x:v>
      </x:c>
      <x:c r="N1" s="12" t="str">
        <x:v>首位来源</x:v>
      </x:c>
      <x:c r="O1" s="12" t="str">
        <x:v>路由匹配</x:v>
      </x:c>
      <x:c r="P1" s="12" t="str">
        <x:v>观察Skill</x:v>
      </x:c>
      <x:c r="Q1" s="12" t="str">
        <x:v>Tool成功</x:v>
      </x:c>
      <x:c r="R1" s="12" t="str">
        <x:v>完成</x:v>
      </x:c>
      <x:c r="S1" s="12" t="str">
        <x:v>评分(5分)</x:v>
      </x:c>
      <x:c r="T1" s="12" t="str">
        <x:v>耗时(ms)</x:v>
      </x:c>
      <x:c r="U1" s="12" t="str">
        <x:v>助手回答</x:v>
      </x:c>
      <x:c r="V1" s="12" t="str">
        <x:v>备注</x:v>
      </x:c>
    </x:row>
    <x:row r="2" ht="34" customHeight="1">
      <x:c r="A2" s="21" t="str">
        <x:v>regulation-summary-en</x:v>
      </x:c>
      <x:c r="B2" s="21" t="str">
        <x:v>en</x:v>
      </x:c>
      <x:c r="C2" s="21" t="str">
        <x:v>法规摘要</x:v>
      </x:c>
      <x:c r="D2" s="21" t="str">
        <x:v>Summarize the main UAE media regulation requirements for a new media license applicant.</x:v>
      </x:c>
      <x:c r="E2" s="21" t="str">
        <x:v>latest_regulations</x:v>
      </x:c>
      <x:c r="F2" s="21" t="str">
        <x:v>knowledge</x:v>
      </x:c>
      <x:c r="G2" s="21" t="str">
        <x:v>summary</x:v>
      </x:c>
      <x:c r="H2" s="21" t="str">
        <x:v>检索法规证据，给出摘要并区分一般规则与具体服务条件。</x:v>
      </x:c>
      <x:c r="I2" s="21" t="str">
        <x:v>是</x:v>
      </x:c>
      <x:c r="J2" s="21" t="str">
        <x:v>34a89aa7b43b473d8326cf6540fc3894</x:v>
      </x:c>
      <x:c r="K2" s="21" t="str">
        <x:v>bm25, graph, vector</x:v>
      </x:c>
      <x:c r="L2" s="22" t="n">
        <x:v>32</x:v>
      </x:c>
      <x:c r="M2" s="22" t="n">
        <x:v>32</x:v>
      </x:c>
      <x:c r="N2" s="21" t="str">
        <x:v>02_FDL_55_2023_Regulating_Media.pdf</x:v>
      </x:c>
      <x:c r="O2" s="21" t="str">
        <x:v>是</x:v>
      </x:c>
      <x:c r="P2" s="21" t="str">
        <x:v>latest_regulations</x:v>
      </x:c>
      <x:c r="Q2" s="21" t="str">
        <x:v>是</x:v>
      </x:c>
      <x:c r="R2" s="21" t="str">
        <x:v>是</x:v>
      </x:c>
      <x:c r="S2" s="22" t="n">
        <x:v>5</x:v>
      </x:c>
      <x:c r="T2" s="22" t="n">
        <x:v>15152</x:v>
      </x:c>
      <x:c r="U2" s="21" t="str">
        <x:v>Based on the retrieved UAE media regulation documents (Federal Decree-Law No. 55 of 2023 and Cabinet Resolution No. 68 of 2024), the main requirements for a new media license applicant are:
## 1. Application submission
- Submit to the **UAE Media Council** or the **Competent Authority** (local licensing body), depending on the case.
- Submitted **electronically** through approved means, by the applicant or legal representative, using the prescribed form and supporting documents.
## 2. Applicant eligibility
- Must have **full legal capacity**.
- Must be of **good reputation and conduct**.
- Must not have been previously sentenced to imprisonment for a felony or misdemeanor involving **moral turpitude or breach of trust**, unless rehabilitated.
## 3. Required documents
- Valid **UAE ID** for the applicant and partners (if any).
- **Trade name reservation certificate** from relevant authorities, including name, legal form and activity.
- **Memorandum or Articles of Association** of the media institution.
- **Appointment letter of the Director General**.
- Completed **Information Statement form**, if the activity requires it.
- For **foreign media offices**: name and address of the UAE legal representative, plus a **Power of Attorney** notarized by a notary public and attested by the UAE embassy.
## 4. Additional conditions
- Any other conditions determined by the UAE Media Council or the Competent Authority.
## 5. Decision timeline
- Applications meeting all conditions are decided within **3 working days** from submission.
- The decision may be postponed if approval from other relevant authorities is required.
## 6. Grounds for rejection
- Failure to meet license conditions.
- Rejection by a relevant authority whose approval is legally required.
- Previous unresolved suspension/cancellation of a license, closure of a related media establishment, or prohibition from practicing media activity.
- Any other cases determined by the Council or Competent Authority.
## 7. Ongoing content obligations
Once licensed, the applicant must also comply with media content standards, including:
- Not glorifying groups with destructive political, ethnic, economic, ideological or social tendencies adverse to the UAE.
- Selecting appropriate guests and callers.
- Ensuring advertisements respect UAE culture, identity and values.
- Complying with the UAE Media Council’s **Age </x:v>
      </x:c>
      <x:c r="V2" s="21" t="str">
        <x:v>Tool 返回成功</x:v>
      </x:c>
    </x:row>
    <x:row r="3" ht="34" customHeight="1">
      <x:c r="A3" s="21" t="str">
        <x:v>regulation-summary-ar</x:v>
      </x:c>
      <x:c r="B3" s="21" t="str">
        <x:v>ar</x:v>
      </x:c>
      <x:c r="C3" s="21" t="str">
        <x:v>法规摘要</x:v>
      </x:c>
      <x:c r="D3" s="21" t="str">
        <x:v>لخّص المتطلبات الرئيسية للوائح الإعلام في دولة الإمارات لمتقدم جديد للحصول على ترخيص إعلامي.</x:v>
      </x:c>
      <x:c r="E3" s="21" t="str">
        <x:v>latest_regulations</x:v>
      </x:c>
      <x:c r="F3" s="21" t="str">
        <x:v>knowledge</x:v>
      </x:c>
      <x:c r="G3" s="21" t="str">
        <x:v>summary</x:v>
      </x:c>
      <x:c r="H3" s="21" t="str">
        <x:v>检索法规证据，给出摘要并区分一般规则与具体服务条件。</x:v>
      </x:c>
      <x:c r="I3" s="21" t="str">
        <x:v>是</x:v>
      </x:c>
      <x:c r="J3" s="21" t="str">
        <x:v>34a89aa7b43b473d8326cf6540fc3894</x:v>
      </x:c>
      <x:c r="K3" s="21" t="str">
        <x:v>bm25, graph, vector</x:v>
      </x:c>
      <x:c r="L3" s="22" t="n">
        <x:v>32</x:v>
      </x:c>
      <x:c r="M3" s="22" t="n">
        <x:v>32</x:v>
      </x:c>
      <x:c r="N3" s="21" t="str">
        <x:v>02_FDL_55_2023_Regulating_Media.pdf</x:v>
      </x:c>
      <x:c r="O3" s="21" t="str">
        <x:v>是</x:v>
      </x:c>
      <x:c r="P3" s="21" t="str">
        <x:v>latest_regulations</x:v>
      </x:c>
      <x:c r="Q3" s="21" t="str">
        <x:v>是</x:v>
      </x:c>
      <x:c r="R3" s="21" t="str">
        <x:v>是</x:v>
      </x:c>
      <x:c r="S3" s="22" t="n">
        <x:v>5</x:v>
      </x:c>
      <x:c r="T3" s="22" t="n">
        <x:v>19366</x:v>
      </x:c>
      <x:c r="U3" s="21" t="str">
        <x:v>وفقًا لمعرفة المكتبة (المرسوم بقانون اتحادي رقم 55 لسنة 2023 بشأن تنظيم الإعلام، وقرار مجلس الوزراء رقم 68 لسنة 2024 بشأن اللائحة التنفيذية)، تشمل المتطلبات الرئيسية للحصول على ترخيص إعلامي لمقدم جديد ما يلي:
### 1. تقديم الطلب  
- يُقدَّم الطلب إلى مجلس الإمارات للإعلام أو السلطة المختصة، من الشخص الذي سيُصدر الترخيص باسمه أو ممثله القانوني، عبر الوسائل الإلكترونية المعتمدة، وباستخدام النموذج المحدد، مع إرفاق المستندات الداعمة.
### 2. شروط عامة للمتقدم  
- التمتع بالأهلية القانونية الكاملة.  
- حسن السيرة والسمعة، وألا يكون قد صدر ضده حكم نهائي بالسجن في جناية أو جنحة تتعلق بالشرف أو الأمانة، ما لم يكن قد رد اعتباره.
### 3. المستندات المطلوبة (حسب المادة 2 من اللائحة)  
- بطاقة هوية إماراتية سارية للمتقدم وشركائه (إن وجدوا).  
- شهادة حجز اسم تجاري من الجهات المعنية، تتضمن الاسم والشكل القانوني والنشاط.  
- عقد التأسيس أو النظام الأساسي للمؤسسة الإعلامية (حسب الحالة).  
- خطاب تعيين مدير عام.  
- تعبئة نموذج الإفصاح المعلوماتي إذا كان النشاط يتطلب ذلك.  
- **للمكاتب الإعلامية الأجنبية:** اسم وعنوان الممثل القانوني في الدولة، مع توكيل رسمي موثق لدى كاتب عدل ومصدق من السفارة الإماراتية.
### 4. البت في الطلب  
- تقوم الجهة المختصة بمراجعة الطلب والبت فيه خلال **3 أيام عمل** من تاريخ تقديمه إذا استوفى الشروط.  
- قد يتأجل البت إذا تطلب الطلب موافقة جهات أخرى.
### 5. أسباب رفض الترخيص  
- عدم استيفاء شروط الترخيص.  
- رفض جهة معنية يتطلب القانون موافقتها.  
- وجود ترخيص سابق معلق أو ملغي أو إغلاق سابق لمنشأة إعلامية أو منع سابق من ممارسة النشاط، ما لم تُعالج أسباب ذلك.
### 6. الالتزام بمعايير المحتوى الإعلامي  
- عدم تمجيد جماعات ذات توجهات هدامة معادية للدولة.  
- مراعاة الثقافة والهوية والقيم الإماراتية في المحتوى.  
- احترام نظام تصنيف الأعمال الفنية حسب الفئات العمرية.  
- احترام حقوق الأطفال وفق التشريعات السارية.
هذه هي أبرز المتطلبات الواردة في الوثائق المتاحة. إذا كنت بحاجة لتفاصيل أدق حول نشاط إعلامي معين أو إجراءات التقديم، يمكنني مساعدتك بناءً على المتاح.</x:v>
      </x:c>
      <x:c r="V3" s="21" t="str">
        <x:v>Tool 返回成功</x:v>
      </x:c>
    </x:row>
    <x:row r="4" ht="34" customHeight="1">
      <x:c r="A4" s="21" t="str">
        <x:v>exact-quote-en</x:v>
      </x:c>
      <x:c r="B4" s="21" t="str">
        <x:v>en</x:v>
      </x:c>
      <x:c r="C4" s="21" t="str">
        <x:v>法规逐字引用安全门禁</x:v>
      </x:c>
      <x:c r="D4" s="21" t="str">
        <x:v>Quote Cabinet Resolution No. 68 of 2024 Article 7.2 exactly.</x:v>
      </x:c>
      <x:c r="E4" s="21" t="str">
        <x:v>latest_regulations</x:v>
      </x:c>
      <x:c r="F4" s="21" t="str">
        <x:v>knowledge</x:v>
      </x:c>
      <x:c r="G4" s="21" t="str">
        <x:v>exact_quote</x:v>
      </x:c>
      <x:c r="H4" s="21" t="str">
        <x:v>必须确认来源和条款；不得从排序结果臆造逐字引用。</x:v>
      </x:c>
      <x:c r="I4" s="21" t="str">
        <x:v>是</x:v>
      </x:c>
      <x:c r="J4" s="21" t="str">
        <x:v>34a89aa7b43b473d8326cf6540fc3894</x:v>
      </x:c>
      <x:c r="K4" s="21" t="str">
        <x:v>bm25, graph, vector</x:v>
      </x:c>
      <x:c r="L4" s="22" t="n">
        <x:v>32</x:v>
      </x:c>
      <x:c r="M4" s="22" t="n">
        <x:v>32</x:v>
      </x:c>
      <x:c r="N4" s="21" t="str">
        <x:v>13_Cabinet_47_2022_Copyright_Executive_Regulation.pdf</x:v>
      </x:c>
      <x:c r="O4" s="21" t="str">
        <x:v>是</x:v>
      </x:c>
      <x:c r="P4" s="21" t="str">
        <x:v>latest_regulations</x:v>
      </x:c>
      <x:c r="Q4" s="21" t="str">
        <x:v>是</x:v>
      </x:c>
      <x:c r="R4" s="21" t="str">
        <x:v>是</x:v>
      </x:c>
      <x:c r="S4" s="22" t="n">
        <x:v>5</x:v>
      </x:c>
      <x:c r="T4" s="22" t="n">
        <x:v>13391</x:v>
      </x:c>
      <x:c r="U4" s="21" t="str">
        <x:v>根据当前知识库检索结果，**我无法提供 Cabinet Resolution No. (68) of 2024 第 7.2 条的精确引文**。
检索命中的文件为：
- `03_Cabinet_68_2024_Media_Executive_Regulation.pdf`
但返回的片段仅覆盖 **Article (1) 至 (5)** 以及 **Article (27) 起** 的部分内容，**未包含 Article (7) 的文本**。
为了避免编造或错误引用，我不能凭推断给出所谓“exact quote”。如果你能提供该文件的完整版本，或允许我重新检索全文，我可以继续帮你查找并核实 Article 7.2 的准确表述。</x:v>
      </x:c>
      <x:c r="V4" s="21" t="str">
        <x:v>Tool 返回成功</x:v>
      </x:c>
    </x:row>
    <x:row r="5" ht="34" customHeight="1">
      <x:c r="A5" s="21" t="str">
        <x:v>exact-quote-ar</x:v>
      </x:c>
      <x:c r="B5" s="21" t="str">
        <x:v>ar</x:v>
      </x:c>
      <x:c r="C5" s="21" t="str">
        <x:v>法规逐字引用安全门禁</x:v>
      </x:c>
      <x:c r="D5" s="21" t="str">
        <x:v>اقتبس حرفيًا المادة 7.2 من قرار مجلس الوزراء رقم 68 لعام 2024.</x:v>
      </x:c>
      <x:c r="E5" s="21" t="str">
        <x:v>latest_regulations</x:v>
      </x:c>
      <x:c r="F5" s="21" t="str">
        <x:v>knowledge</x:v>
      </x:c>
      <x:c r="G5" s="21" t="str">
        <x:v>exact_quote</x:v>
      </x:c>
      <x:c r="H5" s="21" t="str">
        <x:v>必须确认来源和条款；不得从排序结果臆造逐字引用。</x:v>
      </x:c>
      <x:c r="I5" s="21" t="str">
        <x:v>是</x:v>
      </x:c>
      <x:c r="J5" s="21" t="str">
        <x:v>34a89aa7b43b473d8326cf6540fc3894</x:v>
      </x:c>
      <x:c r="K5" s="21" t="str">
        <x:v>bm25, graph, vector</x:v>
      </x:c>
      <x:c r="L5" s="22" t="n">
        <x:v>32</x:v>
      </x:c>
      <x:c r="M5" s="22" t="n">
        <x:v>32</x:v>
      </x:c>
      <x:c r="N5" s="21" t="str">
        <x:v>13_Cabinet_47_2022_Copyright_Executive_Regulation.pdf</x:v>
      </x:c>
      <x:c r="O5" s="21" t="str">
        <x:v>是</x:v>
      </x:c>
      <x:c r="P5" s="21" t="str">
        <x:v>latest_regulations</x:v>
      </x:c>
      <x:c r="Q5" s="21" t="str">
        <x:v>是</x:v>
      </x:c>
      <x:c r="R5" s="21" t="str">
        <x:v>是</x:v>
      </x:c>
      <x:c r="S5" s="22" t="n">
        <x:v>5</x:v>
      </x:c>
      <x:c r="T5" s="22" t="n">
        <x:v>7701</x:v>
      </x:c>
      <x:c r="U5" s="21" t="str">
        <x:v>لا يمكنني تقديم اقتباس حرفي للمادة 7.2 من قرار مجلس الوزراء رقم (68) لسنة 2024، لأن نتائج البحث المتاحة لا تتضمن نص المادة (7) ضمن المستندات المسترجعة. الملف الذي ظهر هو:
- `03_Cabinet_68_2024_Media_Executive_Regulation.pdf`، لكن الأجزاء المسترجعة تغطي المواد (1–5) و(27–32) فقط.
لذلك لا أملك دليلًا موثوقًا على نص المادة 7.2. يُرجى تأكيد المصدر أو إتاحة النسخة الكاملة من القرار لأتمكن من الاقتباس الحرفي بدقة.</x:v>
      </x:c>
      <x:c r="V5" s="21" t="str">
        <x:v>Tool 返回成功</x:v>
      </x:c>
    </x:row>
    <x:row r="6" ht="34" customHeight="1">
      <x:c r="A6" s="21" t="str">
        <x:v>filming-permit-en</x:v>
      </x:c>
      <x:c r="B6" s="21" t="str">
        <x:v>en</x:v>
      </x:c>
      <x:c r="C6" s="21" t="str">
        <x:v>摄影许可申请</x:v>
      </x:c>
      <x:c r="D6" s="21" t="str">
        <x:v>What documents and lead time are required for a land, aerial, or marine filming permit?</x:v>
      </x:c>
      <x:c r="E6" s="21" t="str">
        <x:v>license_application</x:v>
      </x:c>
      <x:c r="F6" s="21" t="str">
        <x:v>knowledge</x:v>
      </x:c>
      <x:c r="G6" s="21" t="str">
        <x:v>answer</x:v>
      </x:c>
      <x:c r="H6" s="21" t="str">
        <x:v>说明申请资料、拍摄日期地点、授权信及至少 15 个工作日等规则。</x:v>
      </x:c>
      <x:c r="I6" s="21" t="str">
        <x:v>是</x:v>
      </x:c>
      <x:c r="J6" s="21" t="str">
        <x:v>34a89aa7b43b473d8326cf6540fc3894</x:v>
      </x:c>
      <x:c r="K6" s="21" t="str">
        <x:v>bm25, graph, vector</x:v>
      </x:c>
      <x:c r="L6" s="22" t="n">
        <x:v>32</x:v>
      </x:c>
      <x:c r="M6" s="22" t="n">
        <x:v>32</x:v>
      </x:c>
      <x:c r="N6" s="21" t="str">
        <x:v>08_NMA_Media_Services_Guide.pdf</x:v>
      </x:c>
      <x:c r="O6" s="21" t="str">
        <x:v>是</x:v>
      </x:c>
      <x:c r="P6" s="21" t="str">
        <x:v>license_application</x:v>
      </x:c>
      <x:c r="Q6" s="21" t="str">
        <x:v>是</x:v>
      </x:c>
      <x:c r="R6" s="21" t="str">
        <x:v>是</x:v>
      </x:c>
      <x:c r="S6" s="22" t="n">
        <x:v>5</x:v>
      </x:c>
      <x:c r="T6" s="22" t="n">
        <x:v>11587</x:v>
      </x:c>
      <x:c r="U6" s="21" t="str">
        <x:v>根据相关法规（**2024年内阁决议第68号**《媒体执行条例》第21条），陆地、空中或海洋拍摄许可的要求如下：
## 提前期
- 须在**计划开拍日前至少15个工作日**，通过指定电子方式提交申请。
## 需要提交的文件/信息
1. **正确填写的指定申请表**；
2. 说明**拍摄目的**（电影、电视报道、节目、电视剧、广告、视频片段或其他）；
3. 明确**拍摄起止日期**及**精确拍摄地点**；
4. 如适用，提供**相关执行或监督实体的授权信/官方信函**（国内外均可）；
5. 附上**已获批的剧本许可**：
   - 电影/戏剧：由阿联酋媒体委员会（UAE Media Council）签发；
   - 电视剧：由主管当局签发；
6. 遵守法规规定的媒体内容标准；
7. 主管当局要求的其他条件。
## 注意
- 若未在规定期限内提交或文件不全，申请可能被拒绝。
- 审批时限参照执行条例第11条：主管机构应在收到申请后**15个工作日内**审查并通知结果；逾期未决定视为**默示拒绝**。
如需具体申请表格或流程，建议直接访问阿联酋国家媒体委员会官网：https://www.nma.gov.ae</x:v>
      </x:c>
      <x:c r="V6" s="21" t="str">
        <x:v>Tool 返回成功</x:v>
      </x:c>
    </x:row>
    <x:row r="7" ht="34" customHeight="1">
      <x:c r="A7" s="21" t="str">
        <x:v>filming-permit-ar</x:v>
      </x:c>
      <x:c r="B7" s="21" t="str">
        <x:v>ar</x:v>
      </x:c>
      <x:c r="C7" s="21" t="str">
        <x:v>摄影许可申请</x:v>
      </x:c>
      <x:c r="D7" s="21" t="str">
        <x:v>ما المستندات والمدة المطلوبة للحصول على تصريح تصوير بري أو جوي أو بحري؟</x:v>
      </x:c>
      <x:c r="E7" s="21" t="str">
        <x:v>license_application</x:v>
      </x:c>
      <x:c r="F7" s="21" t="str">
        <x:v>knowledge</x:v>
      </x:c>
      <x:c r="G7" s="21" t="str">
        <x:v>answer</x:v>
      </x:c>
      <x:c r="H7" s="21" t="str">
        <x:v>说明申请资料、拍摄日期地点、授权信及至少 15 个工作日等规则。</x:v>
      </x:c>
      <x:c r="I7" s="21" t="str">
        <x:v>是</x:v>
      </x:c>
      <x:c r="J7" s="21" t="str">
        <x:v>34a89aa7b43b473d8326cf6540fc3894</x:v>
      </x:c>
      <x:c r="K7" s="21" t="str">
        <x:v>bm25, graph, vector</x:v>
      </x:c>
      <x:c r="L7" s="22" t="n">
        <x:v>32</x:v>
      </x:c>
      <x:c r="M7" s="22" t="n">
        <x:v>32</x:v>
      </x:c>
      <x:c r="N7" s="21" t="str">
        <x:v>08_NMA_Media_Services_Guide.pdf</x:v>
      </x:c>
      <x:c r="O7" s="21" t="str">
        <x:v>是</x:v>
      </x:c>
      <x:c r="P7" s="21" t="str">
        <x:v>license_application</x:v>
      </x:c>
      <x:c r="Q7" s="21" t="str">
        <x:v>是</x:v>
      </x:c>
      <x:c r="R7" s="21" t="str">
        <x:v>是</x:v>
      </x:c>
      <x:c r="S7" s="22" t="n">
        <x:v>5</x:v>
      </x:c>
      <x:c r="T7" s="22" t="n">
        <x:v>15716</x:v>
      </x:c>
      <x:c r="U7" s="21" t="str">
        <x:v>وفقًا للمادة (21) من قرار مجلس الوزراء رقم 68 لسنة 2024 بشأن اللائحة التنفيذية لتنظيم الإعلام، فإن ضوابط وإجراءات التصريح بالتصوير البري أو الجوي أو البحري هي كالتالي:
## المستندات والبيانات المطلوبة
1. تقديم الطلب عبر الوسائل الإلكترونية المعتمدة، على النموذج المخصص، مع جميع المستندات والبيانات المطلوبة.
2. استيفاء نموذج البيانات بشكل صحيح.
3. تحديد الغرض من التصوير (فيلم سينمائي / تقرير تلفزيوني / برنامج / مسلسل / إعلان / فيديو كليب أو أي غرض آخر).
4. تحديد تاريخ بدء التصوير وتاريخ انتهائه، مع توفير تفاصيل دقيقة عن المواقع المطلوب تصويرها.
5. إرفاق خطاب تفويض أو خطاب رسمي من الجهة المنفذة أو المشرفة ذات الصلة، سواء كانت محلية أو أجنبية، إذا كان ذلك مناسبًا.
6. إرفاق تصريح اعتماد السيناريو المكتوب الصادر من مجلس الإعلام (للأفلام والمسرحيات)، أو من الجهة المختصة (للمسلسلات).
7. الالتزام بمعايير المحتوى الإعلامي المنصوص عليها في المرسوم بقانون واللائحة التنفيذية.
8. أي شروط أخرى تحددها الجهة المختصة.
## المدة المطلوبة
- **تقديم الطلب:** قبل **15 يوم عمل** على الأقل من التاريخ المحدد لبدء التصوير.
- **نظر الطلب:** تدرس الجهة المختصة الطلب خلال **15 يوم عمل** من تقديمه، وتُخطر مقدم الطلب بالقرار خلال **3 أيام عمل** من صدوره.
- إذا لم يصدر قرار خلال **15 يوم عمل**، يُعد الطلب **مرفوضًا ضمنيًا** (وفق المادة 11 من نفس اللائحة).
ملاحظة: قد تُحدد الجهة المختصة مستندات إضافية أو رسومًا، ويُنصح بمراجعة الجهة المعنية أو المنصة الإلكترونية الرسمية للحصول على النماذج والتكاليف الدقيقة.</x:v>
      </x:c>
      <x:c r="V7" s="21" t="str">
        <x:v>Tool 返回成功</x:v>
      </x:c>
    </x:row>
    <x:row r="8" ht="34" customHeight="1">
      <x:c r="A8" s="21" t="str">
        <x:v>publication-license-en</x:v>
      </x:c>
      <x:c r="B8" s="21" t="str">
        <x:v>en</x:v>
      </x:c>
      <x:c r="C8" s="21" t="str">
        <x:v>报刊出版许可</x:v>
      </x:c>
      <x:c r="D8" s="21" t="str">
        <x:v>What are the requirements to obtain a license for a newspaper or publication?</x:v>
      </x:c>
      <x:c r="E8" s="21" t="str">
        <x:v>license_application</x:v>
      </x:c>
      <x:c r="F8" s="21" t="str">
        <x:v>knowledge</x:v>
      </x:c>
      <x:c r="G8" s="21" t="str">
        <x:v>answer</x:v>
      </x:c>
      <x:c r="H8" s="21" t="str">
        <x:v>覆盖电子申请、主编资格、出版信息展示及内容标准。</x:v>
      </x:c>
      <x:c r="I8" s="21" t="str">
        <x:v>是</x:v>
      </x:c>
      <x:c r="J8" s="21" t="str">
        <x:v>34a89aa7b43b473d8326cf6540fc3894</x:v>
      </x:c>
      <x:c r="K8" s="21" t="str">
        <x:v>bm25, graph, vector</x:v>
      </x:c>
      <x:c r="L8" s="22" t="n">
        <x:v>32</x:v>
      </x:c>
      <x:c r="M8" s="22" t="n">
        <x:v>32</x:v>
      </x:c>
      <x:c r="N8" s="21" t="str">
        <x:v>29_Cabinet_68_2024_Media_Executive_Regulation_AR.pdf</x:v>
      </x:c>
      <x:c r="O8" s="21" t="str">
        <x:v>是</x:v>
      </x:c>
      <x:c r="P8" s="21" t="str">
        <x:v>license_application</x:v>
      </x:c>
      <x:c r="Q8" s="21" t="str">
        <x:v>是</x:v>
      </x:c>
      <x:c r="R8" s="21" t="str">
        <x:v>是</x:v>
      </x:c>
      <x:c r="S8" s="22" t="n">
        <x:v>5</x:v>
      </x:c>
      <x:c r="T8" s="22" t="n">
        <x:v>11282</x:v>
      </x:c>
      <x:c r="U8" s="21" t="str">
        <x:v>根据检索到的知识库文件（《2024年媒体监管联邦法令之内阁决议执行条例》第20条），从事报纸和出版物活动需满足以下许可条件：
1. **提交申请**  
   通过指定的电子方式，使用规定表格提交申请，并附上所有必需文件。
2. **具备主编（Editor-in-Chief）**  
   每份报纸或出版物应有一名主编，并满足：
   - 持有认可大学或高等机构颁发的学历资格；
   - 具备不少于一年的实践经验；
   - 品行良好、声誉良好。
3. **被许可人可兼任主编**  
   如果被许可人本人符合上述主编条件，也可以担任主编。
4. **刊载信息要求**  
   印刷版或电子版报纸应显著显示：
   - 被许可人姓名；
   - 主编姓名；
   - 期号；
   - 出版地点和日期；
   - 印刷厂名称。
5. **名称不得混淆**  
   禁止使用可能与他人（自然人或法人）名称或标题产生混淆的名称和描述。
6. **特定主体需取得许可**  
   部委、联邦及地方政府机构、非营利组织若以盈利为目的发行报纸或出版物，须向主管机构取得许可。
7. **遵守媒体内容标准**  
   须符合该法令及执行条例规定的媒体内容标准。
8. **其他条件**  
   主管机构提出的其他条件。
另外，根据同条例第7条的一般规定，媒体活动许可证有效期为**一个日历年**，续期申请应在有效期届满前**30天**提交，且续期条件与首次发证条件相同；如果逾期90天未续期，许可证将自动注销并可能产生罚款。
---
以上信息来源于知识库文件：`03_Cabinet_68_2024_Media_Executive_Regulation.pdf`，仅供参考。具体办理时请以主管机构的官方表格、最新要求和实际审核意见为准。</x:v>
      </x:c>
      <x:c r="V8" s="21" t="str">
        <x:v>Tool 返回成功</x:v>
      </x:c>
    </x:row>
    <x:row r="9" ht="34" customHeight="1">
      <x:c r="A9" s="21" t="str">
        <x:v>publication-license-ar</x:v>
      </x:c>
      <x:c r="B9" s="21" t="str">
        <x:v>ar</x:v>
      </x:c>
      <x:c r="C9" s="21" t="str">
        <x:v>报刊出版许可</x:v>
      </x:c>
      <x:c r="D9" s="21" t="str">
        <x:v>ما المتطلبات للحصول على ترخيص لإصدار صحيفة أو منشور؟</x:v>
      </x:c>
      <x:c r="E9" s="21" t="str">
        <x:v>license_application</x:v>
      </x:c>
      <x:c r="F9" s="21" t="str">
        <x:v>knowledge</x:v>
      </x:c>
      <x:c r="G9" s="21" t="str">
        <x:v>answer</x:v>
      </x:c>
      <x:c r="H9" s="21" t="str">
        <x:v>覆盖电子申请、主编资格、出版信息展示及内容标准。</x:v>
      </x:c>
      <x:c r="I9" s="21" t="str">
        <x:v>是</x:v>
      </x:c>
      <x:c r="J9" s="21" t="str">
        <x:v>34a89aa7b43b473d8326cf6540fc3894</x:v>
      </x:c>
      <x:c r="K9" s="21" t="str">
        <x:v>bm25, graph, vector</x:v>
      </x:c>
      <x:c r="L9" s="22" t="n">
        <x:v>32</x:v>
      </x:c>
      <x:c r="M9" s="22" t="n">
        <x:v>32</x:v>
      </x:c>
      <x:c r="N9" s="21" t="str">
        <x:v>29_Cabinet_68_2024_Media_Executive_Regulation_AR.pdf</x:v>
      </x:c>
      <x:c r="O9" s="21" t="str">
        <x:v>是</x:v>
      </x:c>
      <x:c r="P9" s="21" t="str">
        <x:v>license_application</x:v>
      </x:c>
      <x:c r="Q9" s="21" t="str">
        <x:v>是</x:v>
      </x:c>
      <x:c r="R9" s="21" t="str">
        <x:v>是</x:v>
      </x:c>
      <x:c r="S9" s="22" t="n">
        <x:v>5</x:v>
      </x:c>
      <x:c r="T9" s="22" t="n">
        <x:v>29408</x:v>
      </x:c>
      <x:c r="U9" s="21" t="str">
        <x:v>وفقًا لما ورد في **المادة (20) من اللائحة التنفيذية للمرسوم بقانون اتحادي لسنة 2023 بشأن تنظيم الإعلام** (قرار مجلس الوزراء لسنة 2024)، يشترط للحصول على ترخيص لإصدار صحيفة أو منشور من الجهة المختصة ما يلي:
1. **تقديم الطلب** عبر الوسائل الإلكترونية المعتمدة، باستخدام النموذج المخصص، مع إرفاق جميع المستندات المطلوبة.  
2. **تعيين رئيس تحرير** لكل صحيفة أو منشور، مع استيفائه للشروط التالية:  
   - الحصول على مؤهل أكاديمي من جامعة معترف بها أو معهد عالٍ.  
   - خبرة عملية لا تقل عن سنة واحدة.  
   - حسن السيرة والسلوك.  
3. يجوز للمرخص له أن يباشر بنفسه مهام رئيس التحرير إذا استوفى الشروط المذكورة في البند (2).  
4. **إبراز البيانات التالية بوضوح** على الصحيفة المطبوعة أو الإلكترونية:  
   - اسم المرخص له.  
   - اسم رئيس التحرير.  
   - رقم العدد.  
   - مكان وتاريخ النشر.  
   - اسم المطبعة.  
5. **منع استخدام أسماء أو أوصاف** قد تسبب لبسًا أو خلطًا مع اسم أو عنوان شخص طبيعي أو اعتباري آخر.  
6. **الجهات الحكومية وغير الربحية** (الوزارات، الجهات الاتحادية والمحلية، المنظمات غير الربحية) يجب أن تحصل على ترخيص من الجهة المختصة إذا كانت تسعى إلى إصدار صحف أو منشورات بغرض تحقيق أرباح مالية.  
7. **الالتزام بمعايير المحتوى الإعلامي** المنصوص عليها في المرسوم بقانون وفي هذه اللائحة التنفيذية.  
8. استيفاء **أي شروط أخرى** تحددها الجهة المختصة.
&gt; **ملاحظة:** إذا كان المقصود إعادة طبع مطبوعات أجنبية صادرة خارج الدولة، فقد تنطبق ضوابط وشروط إضافية بموجب المادة (23) من اللائحة نفسها.  
&gt;  
&gt; **المصدر:** الوثيقة المتاحة في قاعدة المعرفة: `03_Cabinet_68_2024_Media_Executive_Regulation.pdf` – المادة (20).  
&gt; يُنصح بالتواصل مع الجهة المختصة (المجلس الإعلامي لدولة الإمارات أو السلطة المختصة) للحصول على النماذج الرسمية وأي متطلبات محدّثة.</x:v>
      </x:c>
      <x:c r="V9" s="21" t="str">
        <x:v>Tool 返回成功</x:v>
      </x:c>
    </x:row>
    <x:row r="10" ht="34" customHeight="1">
      <x:c r="A10" s="21" t="str">
        <x:v>broadcast-license-en</x:v>
      </x:c>
      <x:c r="B10" s="21" t="str">
        <x:v>en</x:v>
      </x:c>
      <x:c r="C10" s="21" t="str">
        <x:v>广播电视许可</x:v>
      </x:c>
      <x:c r="D10" s="21" t="str">
        <x:v>What conditions apply when applying for a radio or television broadcasting license?</x:v>
      </x:c>
      <x:c r="E10" s="21" t="str">
        <x:v>license_application</x:v>
      </x:c>
      <x:c r="F10" s="21" t="str">
        <x:v>knowledge</x:v>
      </x:c>
      <x:c r="G10" s="21" t="str">
        <x:v>answer</x:v>
      </x:c>
      <x:c r="H10" s="21" t="str">
        <x:v>覆盖频道名称、总部、语言、节目计划和技术批准。</x:v>
      </x:c>
      <x:c r="I10" s="21" t="str">
        <x:v>是</x:v>
      </x:c>
      <x:c r="J10" s="21" t="str">
        <x:v>34a89aa7b43b473d8326cf6540fc3894</x:v>
      </x:c>
      <x:c r="K10" s="21" t="str">
        <x:v>bm25, graph, vector</x:v>
      </x:c>
      <x:c r="L10" s="22" t="n">
        <x:v>32</x:v>
      </x:c>
      <x:c r="M10" s="22" t="n">
        <x:v>32</x:v>
      </x:c>
      <x:c r="N10" s="21" t="str">
        <x:v>03_Cabinet_68_2024_Media_Executive_Regulation.pdf</x:v>
      </x:c>
      <x:c r="O10" s="21" t="str">
        <x:v>是</x:v>
      </x:c>
      <x:c r="P10" s="21" t="str">
        <x:v>license_application</x:v>
      </x:c>
      <x:c r="Q10" s="21" t="str">
        <x:v>是</x:v>
      </x:c>
      <x:c r="R10" s="21" t="str">
        <x:v>是</x:v>
      </x:c>
      <x:c r="S10" s="22" t="n">
        <x:v>5</x:v>
      </x:c>
      <x:c r="T10" s="22" t="n">
        <x:v>6498</x:v>
      </x:c>
      <x:c r="U10" s="21" t="str">
        <x:v>根据知识库中 **《2024 年第(68)号内阁决议——2023年联邦媒体监管法令之实施细则》**（文件：`03_Cabinet_68_2024_Media_Executive_Regulation.pdf`）第 15 条，申请开展**广播电视播放活动**的许可证，须满足以下条件：
1. **通过指定电子方式提交申请**，使用规定表格并附全部所需文件；
2. 明确拟设立的**频道/电台名称、总部所在地及播出语言**；
3. 提供申请人、关联公司（如有）、雇员及既往经验的**相关信息**（按表格要求）；
4. 提交**节目计划**（初次发证和续期申请均需提交）；
5. 取得**电信与数字政府监管局**对广播所用**技术规格和技术**的批准；
6. 满足主管当局规定的**其他条件**。
另需注意一般性规定：
- 许可证有效期通常为 **1 个日历年**，续期须在到期前 **30 天** 提交申请，续期条件与初次申请相同（第 7 条）；
- 若到期后 **90 天** 内未提交续期申请，许可证将**自动注销**并可能产生罚款（第 7、9 条）；
- 许可证**不得转让、出租或擅自变更合伙人**，须事先获得 UAE 媒体委员会或主管当局批准（第 8 条）；
- 申请人如曾被吊销许可证、被禁止从事媒体活动且原因未消除，申请可能被拒绝（第 4 条）。
以上信息均来自知识库文件，具体以主管当局（UAE Media Council 或主管机关）的正式要求为准。如需了解申请表格、费用或办理流程，建议直接咨询 UAE Media Council 或主管部门。</x:v>
      </x:c>
      <x:c r="V10" s="21" t="str">
        <x:v>Tool 返回成功</x:v>
      </x:c>
    </x:row>
    <x:row r="11" ht="34" customHeight="1">
      <x:c r="A11" s="21" t="str">
        <x:v>broadcast-license-ar</x:v>
      </x:c>
      <x:c r="B11" s="21" t="str">
        <x:v>ar</x:v>
      </x:c>
      <x:c r="C11" s="21" t="str">
        <x:v>广播电视许可</x:v>
      </x:c>
      <x:c r="D11" s="21" t="str">
        <x:v>ما الشروط المطلوبة للتقدم بطلب ترخيص للبث الإذاعي أو التلفزيوني؟</x:v>
      </x:c>
      <x:c r="E11" s="21" t="str">
        <x:v>license_application</x:v>
      </x:c>
      <x:c r="F11" s="21" t="str">
        <x:v>knowledge</x:v>
      </x:c>
      <x:c r="G11" s="21" t="str">
        <x:v>answer</x:v>
      </x:c>
      <x:c r="H11" s="21" t="str">
        <x:v>覆盖频道名称、总部、语言、节目计划和技术批准。</x:v>
      </x:c>
      <x:c r="I11" s="21" t="str">
        <x:v>是</x:v>
      </x:c>
      <x:c r="J11" s="21" t="str">
        <x:v>34a89aa7b43b473d8326cf6540fc3894</x:v>
      </x:c>
      <x:c r="K11" s="21" t="str">
        <x:v>bm25, graph, vector</x:v>
      </x:c>
      <x:c r="L11" s="22" t="n">
        <x:v>32</x:v>
      </x:c>
      <x:c r="M11" s="22" t="n">
        <x:v>32</x:v>
      </x:c>
      <x:c r="N11" s="21" t="str">
        <x:v>03_Cabinet_68_2024_Media_Executive_Regulation.pdf</x:v>
      </x:c>
      <x:c r="O11" s="21" t="str">
        <x:v>是</x:v>
      </x:c>
      <x:c r="P11" s="21" t="str">
        <x:v>license_application</x:v>
      </x:c>
      <x:c r="Q11" s="21" t="str">
        <x:v>是</x:v>
      </x:c>
      <x:c r="R11" s="21" t="str">
        <x:v>是</x:v>
      </x:c>
      <x:c r="S11" s="22" t="n">
        <x:v>5</x:v>
      </x:c>
      <x:c r="T11" s="22" t="n">
        <x:v>13296</x:v>
      </x:c>
      <x:c r="U11" s="21" t="str">
        <x:v>وفقًا للمادة (15) من القرار التنفيذي للائحة الإعلام (القرار الوزاري رقم 68 لسنة 2024)، الشروط المطلوبة للحصول على ترخيص ممارسة نشاط البث الإذاعي أو التلفزيوني هي:
1. **تقديم الطلب عبر الوسائل الإلكترونية المعتمدة**، باستخدام النموذج المخصص، مع إرفاق جميع المستندات المطلوبة.
2. **تحديد الاسم المقترح للقناة أو المحطة**، والمقر الرئيسي، ولغة البث.
3. **تقديم بيانات مقدم الطلب**، والشركات المرتبطة (إن وجدت)، والموظفين، والخبرات السابقة، وفق ما تحدده النموذج.
4. **تقديم الخطط البرامجية**، سواء للترخيص الأولي أو عند تجديد الترخيص.
5. **الحصول على موافقة هيئة تنظيم الاتصالات والحكومة الرقمية** على المواصفات الفنية والتقنيات المستخدمة في البث.
6. **أي شروط أخرى تحددها السلطة المختصة**.
كما قد تفيدك بعض الأحكام العامة ذات الصلة:
- مدة الترخيص **سنة ميلادية**، ويجب تقديم طلب التجديد قبل **30 يومًا** من تاريخ انتهائه.
- تُراجع السلطة المختصة الطلب خلال **15 يوم عمل**، ويُبلَّغ مقدم الطلب بالقرار خلال **3 أيام عمل** من صدوره، وإذا لم يُبت في الطلب خلال المدة يُعد **مرفوضًا ضمنًا**.
المصدر: المعرفة المسترجعة من ملف `03_Cabinet_68_2024_Media_Executive_Regulation.pdf` (الدليل /umc).</x:v>
      </x:c>
      <x:c r="V11" s="21" t="str">
        <x:v>Tool 返回成功</x:v>
      </x:c>
    </x:row>
    <x:row r="12" ht="34" customHeight="1">
      <x:c r="A12" s="21" t="str">
        <x:v>service-eligibility-en</x:v>
      </x:c>
      <x:c r="B12" s="21" t="str">
        <x:v>en</x:v>
      </x:c>
      <x:c r="C12" s="21" t="str">
        <x:v>服务资格说明</x:v>
      </x:c>
      <x:c r="D12" s="21" t="str">
        <x:v>Who is eligible to apply for UMC media services as an individual, company, or government entity?</x:v>
      </x:c>
      <x:c r="E12" s="21" t="str">
        <x:v>service_eligibility_info</x:v>
      </x:c>
      <x:c r="F12" s="21" t="str">
        <x:v>knowledge</x:v>
      </x:c>
      <x:c r="G12" s="21" t="str">
        <x:v>answer</x:v>
      </x:c>
      <x:c r="H12" s="21" t="str">
        <x:v>说明一般资格，不把通用说明当成当前账户的资格结论。</x:v>
      </x:c>
      <x:c r="I12" s="21" t="str">
        <x:v>是</x:v>
      </x:c>
      <x:c r="J12" s="21" t="str">
        <x:v>34a89aa7b43b473d8326cf6540fc3894</x:v>
      </x:c>
      <x:c r="K12" s="21" t="str">
        <x:v>bm25, graph, vector</x:v>
      </x:c>
      <x:c r="L12" s="22" t="n">
        <x:v>32</x:v>
      </x:c>
      <x:c r="M12" s="22" t="n">
        <x:v>32</x:v>
      </x:c>
      <x:c r="N12" s="21" t="str">
        <x:v>e-services-en-services.md</x:v>
      </x:c>
      <x:c r="O12" s="21" t="str">
        <x:v>是</x:v>
      </x:c>
      <x:c r="P12" s="21" t="str">
        <x:v>service_eligibility_info</x:v>
      </x:c>
      <x:c r="Q12" s="21" t="str">
        <x:v>是</x:v>
      </x:c>
      <x:c r="R12" s="21" t="str">
        <x:v>是</x:v>
      </x:c>
      <x:c r="S12" s="22" t="n">
        <x:v>5</x:v>
      </x:c>
      <x:c r="T12" s="22" t="n">
        <x:v>28848</x:v>
      </x:c>
      <x:c r="U12" s="21" t="str">
        <x:v>Based on the UMC knowledge base, eligibility depends on the specific media service and the applicant’s profile type. In general:
**1. Individuals**
- Must have a **verified Personal Profile** before applying for any UMC service.
- Individual-oriented services exist, e.g.:
  - *Permit for an Individual to Provide Advertising or Media Content on Social Media and Other Digital Platforms*
  - *Permit for Visiting Individuals to Provide Advertising or Media Content on Social Media*
**2. Companies / Commercial Entities**
- Must have an **Establishment Profile**, typically based on a Trade License / Commercial License.
- Examples from the UMC fee/user-type table:
  - *Open Foreign Media Office* – commercial entity
  - *Issuance of Media Licenses of a Commercial Nature*
**3. Government Entities**
- Also fall under **Establishment Profile**, together with Free Zones, Embassies, Consulates, Cultural Clubs, etc.
- The UMC fee table explicitly lists a **Government Entity** user type (e.g., expedite fee for publication printing permits).
**Key gating rules from the UMC entry-gate requirements:**
- A verified Personal Profile is required regardless of applicant type.
- The system checks whether the user/profile type matches the service; mismatches are blocked.
- If a service is managed by a local/Emirate authority (e.g., Abu Dhabi Creative Media Authority, Dubai Film &amp; TV Commission, Sharjah Media Council), UMC will redirect you to that authority if your profile is registered in the relevant Emirate, instead of allowing a federal application.
- Existing in-progress applications or valid licenses may prevent duplicate applications.
So all three types — individuals, companies, and government entities — **can be eligible**, but eligibility is **service-specific**. The definitive check happens in the UMC portal when you click **Start Service**, where the system applies the gating rules. If you need a precise answer, please specify the exact media service.</x:v>
      </x:c>
      <x:c r="V12" s="21" t="str">
        <x:v>Tool 返回成功</x:v>
      </x:c>
    </x:row>
    <x:row r="13" ht="34" customHeight="1">
      <x:c r="A13" s="21" t="str">
        <x:v>service-eligibility-ar</x:v>
      </x:c>
      <x:c r="B13" s="21" t="str">
        <x:v>ar</x:v>
      </x:c>
      <x:c r="C13" s="21" t="str">
        <x:v>服务资格说明</x:v>
      </x:c>
      <x:c r="D13" s="21" t="str">
        <x:v>من المؤهل للتقدم إلى خدمات المجلس الإعلامي كفرد أو شركة أو جهة حكومية؟</x:v>
      </x:c>
      <x:c r="E13" s="21" t="str">
        <x:v>service_eligibility_info</x:v>
      </x:c>
      <x:c r="F13" s="21" t="str">
        <x:v>knowledge</x:v>
      </x:c>
      <x:c r="G13" s="21" t="str">
        <x:v>answer</x:v>
      </x:c>
      <x:c r="H13" s="21" t="str">
        <x:v>说明一般资格，不把通用说明当成当前账户的资格结论。</x:v>
      </x:c>
      <x:c r="I13" s="21" t="str">
        <x:v>是</x:v>
      </x:c>
      <x:c r="J13" s="21" t="str">
        <x:v>34a89aa7b43b473d8326cf6540fc3894</x:v>
      </x:c>
      <x:c r="K13" s="21" t="str">
        <x:v>bm25, graph, vector</x:v>
      </x:c>
      <x:c r="L13" s="22" t="n">
        <x:v>32</x:v>
      </x:c>
      <x:c r="M13" s="22" t="n">
        <x:v>32</x:v>
      </x:c>
      <x:c r="N13" s="21" t="str">
        <x:v>e-services-en-services.md</x:v>
      </x:c>
      <x:c r="O13" s="21" t="str">
        <x:v>是</x:v>
      </x:c>
      <x:c r="P13" s="21" t="str">
        <x:v>service_eligibility_info</x:v>
      </x:c>
      <x:c r="Q13" s="21" t="str">
        <x:v>是</x:v>
      </x:c>
      <x:c r="R13" s="21" t="str">
        <x:v>是</x:v>
      </x:c>
      <x:c r="S13" s="22" t="n">
        <x:v>5</x:v>
      </x:c>
      <x:c r="T13" s="22" t="n">
        <x:v>12012</x:v>
      </x:c>
      <x:c r="U13" s="21" t="str">
        <x:v>وفقًا لمتطلبات نظام UMC (بوابة المجلس الإعلامي)، يمكن التقديم على الخدمات من خلال نوعين من الحسابات/الملفات:
### 1. الأفراد (Personal Profile)
- أي شخص طبيعي يملك حسابًا مسجلًا وملفًا شخصيًا **موثقًا ومعتمدًا**.
- يشمل ذلك الأفراد الذين يرغبون في تقديم محتوى إعلاني أو إعلامي عبر منصات التواصل، وغيرهم ممن تنطبق عليهم الخدمات الفردية.
### 2. الكيانات/المنشآت (Establishment Profile)
يشمل هذا النوع المنظمات وليس فقط الشركات التجارية، ومنها:
- الشركات التجارية.
- الجهات الحكومية.
- المناطق الحرة (Free Zone).
- السفارات والقنصليات.
- النوادي الثقافية.
- أي جهة أو مؤسسة أخرى مدرجة ضمن هذا النوع من الملفات.
---
### ملاحظات مهمة من الأدلة المتاحة:
- لكل خدمة شروطها الخاصة من حيث نوع المستخدم (فرد/منشأة)؛ فبعض الخدمات متاحة للأفراد فقط، وبعضها للمنشآت فقط، وبعضها يتطلب امتلاك ترخيص إعلامي مسبق (Media License) مع النشاط المطلوب.
- قبل التقديم على أي خدمة، يُشترط وجود **Personal Profile موثق ومعتمد** لحساب المستخدم، حتى لو كان التقديم نيابة عن منشأة.
- بعض الخدمات قد تكون من اختصاص سلطة محلية (Local Authority) في إمارة معينة، وفي هذه الحالة يُوجَّه مقدم الطلب إلى تلك السلطة بدلًا من النظام الاتحادي.
- التسجيل في "الشبكة الإعلامية" (Media Network Registration) لا يُعد ترخيصًا أو تصريحًا لمزاولة أي نشاط إعلامي، بل هو مجرد تسجيل للتواصل والتنسيق.
إذا كان لديك خدمة محددة تقصدها، يمكنني التحقق من شروط الأهلية الدقيقة لها من قاعدة المعرفة.</x:v>
      </x:c>
      <x:c r="V13" s="21" t="str">
        <x:v>Tool 返回成功</x:v>
      </x:c>
    </x:row>
    <x:row r="14" ht="34" customHeight="1">
      <x:c r="A14" s="21" t="str">
        <x:v>service-fees-en</x:v>
      </x:c>
      <x:c r="B14" s="21" t="str">
        <x:v>en</x:v>
      </x:c>
      <x:c r="C14" s="21" t="str">
        <x:v>服务费用</x:v>
      </x:c>
      <x:c r="D14" s="21" t="str">
        <x:v>How can I check the current fee for a specific UMC media service?</x:v>
      </x:c>
      <x:c r="E14" s="21" t="str">
        <x:v>service_fees</x:v>
      </x:c>
      <x:c r="F14" s="21" t="str">
        <x:v>knowledge</x:v>
      </x:c>
      <x:c r="G14" s="21" t="str">
        <x:v>answer</x:v>
      </x:c>
      <x:c r="H14" s="21" t="str">
        <x:v>要求具体 service 或 service ID，并标注版本/生效日期。</x:v>
      </x:c>
      <x:c r="I14" s="21" t="str">
        <x:v>是</x:v>
      </x:c>
      <x:c r="J14" s="21" t="str">
        <x:v>34a89aa7b43b473d8326cf6540fc3894</x:v>
      </x:c>
      <x:c r="K14" s="21" t="str">
        <x:v>bm25, graph, vector</x:v>
      </x:c>
      <x:c r="L14" s="22" t="n">
        <x:v>32</x:v>
      </x:c>
      <x:c r="M14" s="22" t="n">
        <x:v>32</x:v>
      </x:c>
      <x:c r="N14" s="21" t="str">
        <x:v>UMC Service Fees by-User Type 服务费用及用户类型.md</x:v>
      </x:c>
      <x:c r="O14" s="21" t="str">
        <x:v>是</x:v>
      </x:c>
      <x:c r="P14" s="21" t="str">
        <x:v>service_fees</x:v>
      </x:c>
      <x:c r="Q14" s="21" t="str">
        <x:v>是</x:v>
      </x:c>
      <x:c r="R14" s="21" t="str">
        <x:v>是</x:v>
      </x:c>
      <x:c r="S14" s="22" t="n">
        <x:v>5</x:v>
      </x:c>
      <x:c r="T14" s="22" t="n">
        <x:v>12584</x:v>
      </x:c>
      <x:c r="U14" s="21" t="str">
        <x:v>要查询某一项 UMC 媒体服务的当前费用，可以按以下方法核对：
1. **确认服务与适用用户类型**  
   需要知道具体服务名称或服务 ID，以及申请主体类型（商业实体、自由区、政府实体等）。
2. **查阅 UMC 服务费用表**  
   知识库中的 `UMC Service Fees by-User Type 服务费用及用户类型.md` 按用户类型列出了：
   - 服务名称（中英文）
   - 费用规则 ID
   - 费用金额（AED）
   - 费用名称
   - 适用条件
   - 是否变量费用
   例如表中已有：
   - 商业实体（UserTypeId=2）申请“开设外国媒体办公室”费用为 **3,000 AED**。
   - 自由区（UserTypeId=5）申请“出版物印刷与文本许可”下不同印刷/文本类型有 **200、25、15、10、800、500 AED** 等不同费用。
3. **结合最新法规核对**  
   2025 年发布的 **Cabinet Resolution No. (41) of 2025（关于媒体服务费用）** 提供了 UMC 服务的费用表，并区分 **首次签发（Initial Issuance）** 与 **续期（Renewal）** 费用。  
   注意：**自由区内的媒体服务**不适用该决议，仍按 **Cabinet Resolution No. (39) of 2016** 执行。
4. **关注适用条件和变量费用**  
   部分费用会因“加急”“数量”“类型”等因素变化，表中“适用条件”和“是否变量费用”字段会标注，需结合具体场景判断。
5. **若服务属于地方机构管辖**  
   某些服务可能由对应 Emirate 的 Local Authority 提供，费用不由 UMC 收取，需访问该地方机构官方渠道查询。
如果你提供具体的服务名称或服务 ID，我可以进一步帮你检索对应费用。</x:v>
      </x:c>
      <x:c r="V14" s="21" t="str">
        <x:v>Tool 返回成功</x:v>
      </x:c>
    </x:row>
    <x:row r="15" ht="34" customHeight="1">
      <x:c r="A15" s="21" t="str">
        <x:v>service-fees-ar</x:v>
      </x:c>
      <x:c r="B15" s="21" t="str">
        <x:v>ar</x:v>
      </x:c>
      <x:c r="C15" s="21" t="str">
        <x:v>服务费用</x:v>
      </x:c>
      <x:c r="D15" s="21" t="str">
        <x:v>كيف يمكنني التحقق من الرسوم الحالية لخدمة إعلامية محددة لدى المجلس؟</x:v>
      </x:c>
      <x:c r="E15" s="21" t="str">
        <x:v>service_fees</x:v>
      </x:c>
      <x:c r="F15" s="21" t="str">
        <x:v>knowledge</x:v>
      </x:c>
      <x:c r="G15" s="21" t="str">
        <x:v>answer</x:v>
      </x:c>
      <x:c r="H15" s="21" t="str">
        <x:v>要求具体 service 或 service ID，并标注版本/生效日期。</x:v>
      </x:c>
      <x:c r="I15" s="21" t="str">
        <x:v>是</x:v>
      </x:c>
      <x:c r="J15" s="21" t="str">
        <x:v>34a89aa7b43b473d8326cf6540fc3894</x:v>
      </x:c>
      <x:c r="K15" s="21" t="str">
        <x:v>bm25, graph, vector</x:v>
      </x:c>
      <x:c r="L15" s="22" t="n">
        <x:v>32</x:v>
      </x:c>
      <x:c r="M15" s="22" t="n">
        <x:v>32</x:v>
      </x:c>
      <x:c r="N15" s="21" t="str">
        <x:v>UMC Service Fees by-User Type 服务费用及用户类型.md</x:v>
      </x:c>
      <x:c r="O15" s="21" t="str">
        <x:v>是</x:v>
      </x:c>
      <x:c r="P15" s="21" t="str">
        <x:v>service_fees</x:v>
      </x:c>
      <x:c r="Q15" s="21" t="str">
        <x:v>是</x:v>
      </x:c>
      <x:c r="R15" s="21" t="str">
        <x:v>是</x:v>
      </x:c>
      <x:c r="S15" s="22" t="n">
        <x:v>5</x:v>
      </x:c>
      <x:c r="T15" s="22" t="n">
        <x:v>14922</x:v>
      </x:c>
      <x:c r="U15" s="21" t="str">
        <x:v>للتحقق من الرسوم الحالية لخدمة إعلامية محددة لدى المجلس (UAE Media Council / National Media Authority)، يمكنك اتباع الخطوات التالية بناءً على المصادر الرسمية المتاحة:
1. **تحديد الخدمة بدقة**  
   اذكر اسم الخدمة كما وردت في الجداول الرسمية، مثل:  
   - ترخيص إنشاء دار سينما  
   - ترخيص استيراد وتوزيع الأفلام  
   - تصريح طباعة المطبوعات المحلية  
   - رخصة مكتب إعلامي أجنبي  
   - تصاريح المحتوى الإعلامي على وسائل التواصل الاجتماعي
2. **تحديد نوع المستخدم**  
   الرسوم تختلف حسب نوع المستخدم، والجداول المتوفرة تصنّف المستخدمين إلى:  
   -商業实体 (UserTypeId=2)  
   - جهة حكومية (UserTypeId=3)  
   - منطقة حرة (UserTypeId=5)  
   - أفراد طبيعيون (مع إعفاءات محددة)
3. **الرجوع إلى المصدر الرسمي للرسوم**  
   المصدر الأساسي هو:  
   **قرار مجلس الوزراء رقم (41) لسنة 2025 بشأن رسوم الخدمات الإعلامية**  
   ويتضمن الجدول الملحق به رسوم خدمات المجلس، مقسمة إلى رسوم الإصدار الأولي ورسوم التجديد السنوية.
4. **التحقق من الشروط والمتغيرات**  
   بعض الرسوم ليست ثابتة، بل تعتمد على شروط مثل:  
   - عدد النسخ (مثل توزيع المطبوعات الأجنبية)  
   - نوع المحتوى (سينمائي، مسرحي، مسلسل)  
   - خدمة الاستعجال  
   - الإصدار مقابل التجديد (يتم التعامل معهما كبندين منفصلين)
5. **الانتباه للمناطق الحرة**  
   رسوم الخدمات الإعلامية داخل **المناطق الحرة** لا تخضع للجدول الملحق بالقرار رقم (41) لسنة 2025، بل تخضع لأحكام **قرار مجلس الوزراء رقم (39) لسنة 2016 بشأن رسوم الخدمات الإعلامية في المناطق الحرة**.
6. **الاستعلام الرسمي**  
   يمكنك التحقق من الخدمات الإلكترونية عبر بوابة هيئة الإعلام الوطني:  
   `https://www.nma.gov.ae/en/services`  
   ثم اختيار الخدمة والاطلاع على تفاصيلها.
---
إذا أخبرتني باسم الخدمة المحددة ونوع المستخدم (تجاري، حكومي، منطقة حرة، فرد) وما إذا كان الطلب إصدارًا جديدًا أو تجديدًا، فسأبحث لك في الجداول المتاحة وأعرض الرسوم المطابقة إن وُجدت.</x:v>
      </x:c>
      <x:c r="V15" s="21" t="str">
        <x:v>Tool 返回成功</x:v>
      </x:c>
    </x:row>
    <x:row r="16" ht="34" customHeight="1">
      <x:c r="A16" s="21" t="str">
        <x:v>license-renewal-en</x:v>
      </x:c>
      <x:c r="B16" s="21" t="str">
        <x:v>en</x:v>
      </x:c>
      <x:c r="C16" s="21" t="str">
        <x:v>许可证续期</x:v>
      </x:c>
      <x:c r="D16" s="21" t="str">
        <x:v>When should I submit a media license renewal, and what happens if it expires?</x:v>
      </x:c>
      <x:c r="E16" s="21" t="str">
        <x:v>license_renewal</x:v>
      </x:c>
      <x:c r="F16" s="21" t="str">
        <x:v>knowledge</x:v>
      </x:c>
      <x:c r="G16" s="21" t="str">
        <x:v>answer</x:v>
      </x:c>
      <x:c r="H16" s="21" t="str">
        <x:v>区分 renewal/extension，说明到期前 30 天及逾期 90 天规则。</x:v>
      </x:c>
      <x:c r="I16" s="21" t="str">
        <x:v>是</x:v>
      </x:c>
      <x:c r="J16" s="21" t="str">
        <x:v>34a89aa7b43b473d8326cf6540fc3894</x:v>
      </x:c>
      <x:c r="K16" s="21" t="str">
        <x:v>bm25, graph, vector</x:v>
      </x:c>
      <x:c r="L16" s="22" t="n">
        <x:v>32</x:v>
      </x:c>
      <x:c r="M16" s="22" t="n">
        <x:v>32</x:v>
      </x:c>
      <x:c r="N16" s="21" t="str">
        <x:v>03_Cabinet_68_2024_Media_Executive_Regulation.pdf</x:v>
      </x:c>
      <x:c r="O16" s="21" t="str">
        <x:v>是</x:v>
      </x:c>
      <x:c r="P16" s="21" t="str">
        <x:v>license_renewal</x:v>
      </x:c>
      <x:c r="Q16" s="21" t="str">
        <x:v>是</x:v>
      </x:c>
      <x:c r="R16" s="21" t="str">
        <x:v>是</x:v>
      </x:c>
      <x:c r="S16" s="22" t="n">
        <x:v>5</x:v>
      </x:c>
      <x:c r="T16" s="22" t="n">
        <x:v>18209</x:v>
      </x:c>
      <x:c r="U16" s="21" t="str">
        <x:v>Based on the UAE Media Executive Regulation (Cabinet Resolution No. 68 of 2024), Article 7:
- **When to renew:** Submit the renewal application **30 days before the license expiry date**. The license is valid for **one calendar year**, and renewal follows the same conditions as the initial license.
- **After expiry:** You must **stop practicing the licensed media activity** from the expiry date until the renewal is granted.
- **90-day grace window:** If you fail to submit a renewal application within **90 days from the expiry date**, the license is **automatically cancelled** and a **fine is imposed** under the administrative violations and penalties regulations.
Note: The specific fine amount was not available in the search results — please refer to the relevant administrative penalties regulation or the UAE Media Council for the exact figure.</x:v>
      </x:c>
      <x:c r="V16" s="21" t="str">
        <x:v>Tool 返回成功</x:v>
      </x:c>
    </x:row>
    <x:row r="17" ht="34" customHeight="1">
      <x:c r="A17" s="21" t="str">
        <x:v>license-renewal-ar</x:v>
      </x:c>
      <x:c r="B17" s="21" t="str">
        <x:v>ar</x:v>
      </x:c>
      <x:c r="C17" s="21" t="str">
        <x:v>许可证续期</x:v>
      </x:c>
      <x:c r="D17" s="21" t="str">
        <x:v>متى يجب تقديم طلب تجديد الترخيص الإعلامي، وماذا يحدث إذا انتهت صلاحيته؟</x:v>
      </x:c>
      <x:c r="E17" s="21" t="str">
        <x:v>license_renewal</x:v>
      </x:c>
      <x:c r="F17" s="21" t="str">
        <x:v>knowledge</x:v>
      </x:c>
      <x:c r="G17" s="21" t="str">
        <x:v>answer</x:v>
      </x:c>
      <x:c r="H17" s="21" t="str">
        <x:v>区分 renewal/extension，说明到期前 30 天及逾期 90 天规则。</x:v>
      </x:c>
      <x:c r="I17" s="21" t="str">
        <x:v>是</x:v>
      </x:c>
      <x:c r="J17" s="21" t="str">
        <x:v>34a89aa7b43b473d8326cf6540fc3894</x:v>
      </x:c>
      <x:c r="K17" s="21" t="str">
        <x:v>bm25, graph, vector</x:v>
      </x:c>
      <x:c r="L17" s="22" t="n">
        <x:v>32</x:v>
      </x:c>
      <x:c r="M17" s="22" t="n">
        <x:v>32</x:v>
      </x:c>
      <x:c r="N17" s="21" t="str">
        <x:v>03_Cabinet_68_2024_Media_Executive_Regulation.pdf</x:v>
      </x:c>
      <x:c r="O17" s="21" t="str">
        <x:v>是</x:v>
      </x:c>
      <x:c r="P17" s="21" t="str">
        <x:v>license_renewal</x:v>
      </x:c>
      <x:c r="Q17" s="21" t="str">
        <x:v>是</x:v>
      </x:c>
      <x:c r="R17" s="21" t="str">
        <x:v>是</x:v>
      </x:c>
      <x:c r="S17" s="22" t="n">
        <x:v>5</x:v>
      </x:c>
      <x:c r="T17" s="22" t="n">
        <x:v>14708</x:v>
      </x:c>
      <x:c r="U17" s="21" t="str">
        <x:v>وفقًا للمادة (7) من **القرار الوزاري لعام 2024 بشأن اللائحة التنفيذية لمرسوم قانون اتحادي 2023 بتنظيم الإعلام**، الخاص بمدّة الترخيص وتجديده:
### متى يجب تقديم طلب التجديد؟
- يجب تقديم طلب تجديد الترخيص الإعلامي **قبل 30 يومًا من تاريخ انتهاء صلاحيته**.
- يتم التجديد وفقًا لنفس الشروط والمتطلبات المقررة لإصدار الترخيص لأول مرة.
### ماذا يحدث إذا انتهت صلاحية الترخيص؟
1. **لا يجوز للشخص المرخّص له مواصلة ممارسة النشاط الإعلامي المرخّص به بعد تاريخ انتهاء الترخيص** حتى يتم التجديد.
2. إذا لم يتم تقديم طلب التجديد خلال **90 يومًا من تاريخ الانتهاء**، فإن الترخيص يُلغى تلقائيًا، وتُفرض الغرامة المحددة في **لائحة المخالفات والجزاءات الإدارية** الصادرة لتنفيذ أحكام القانون.
&gt; ملاحظة: توجد قواعد مختلفة لتصريح المعلن (Advertiser Permit) وفقًا لدليل الهيئة الإعلامية، حيث ينتهي التصريح بعد 30 يومًا من انتهاء مدته إذا لم يُجدَّد، وينبغي مراجعة الدليل الخاص بذلك إن كنت تقصده تحديدًا.
**نصيحة عملية:** قدّم طلب التجديد قبل 30 يومًا من الانتهاء، وإذا انتهى الترخيص فلا تمارس النشاط، وسارع بتقديم طلب التجديد خلال 90 يومًا لتجنب الإلغاء التلقائي والغرامة.
المصدر: `03_Cabinet_68_2024_Media_Executive_Regulation.pdf` — المادة (7).</x:v>
      </x:c>
      <x:c r="V17" s="21" t="str">
        <x:v>Tool 返回成功</x:v>
      </x:c>
    </x:row>
    <x:row r="18" ht="34" customHeight="1">
      <x:c r="A18" s="21" t="str">
        <x:v>application-status-en</x:v>
      </x:c>
      <x:c r="B18" s="21" t="str">
        <x:v>en</x:v>
      </x:c>
      <x:c r="C18" s="21" t="str">
        <x:v>申请状态查询</x:v>
      </x:c>
      <x:c r="D18" s="21" t="str">
        <x:v>Please show the latest status of my media license application.</x:v>
      </x:c>
      <x:c r="E18" s="21" t="str">
        <x:v>application_status</x:v>
      </x:c>
      <x:c r="F18" s="21" t="str">
        <x:v>data_query</x:v>
      </x:c>
      <x:c r="G18" s="21" t="str">
        <x:v>answer</x:v>
      </x:c>
      <x:c r="H18" s="21" t="str">
        <x:v>要求 application number 或明确查询范围，不编造账户状态。</x:v>
      </x:c>
      <x:c r="I18" s="21" t="str">
        <x:v>否</x:v>
      </x:c>
      <x:c r="J18" s="21" t="str">
        <x:v>34a89aa7b43b473d8326cf6540fc3894</x:v>
      </x:c>
      <x:c r="K18" s="21" t="str"/>
      <x:c r="L18" s="22" t="n">
        <x:v>0</x:v>
      </x:c>
      <x:c r="M18" s="22" t="n">
        <x:v>32</x:v>
      </x:c>
      <x:c r="N18" s="21" t="str"/>
      <x:c r="O18" s="21" t="str">
        <x:v>是</x:v>
      </x:c>
      <x:c r="P18" s="21" t="str">
        <x:v>application_status</x:v>
      </x:c>
      <x:c r="Q18" s="21" t="str">
        <x:v>是</x:v>
      </x:c>
      <x:c r="R18" s="21" t="str">
        <x:v>是</x:v>
      </x:c>
      <x:c r="S18" s="22" t="n">
        <x:v>5</x:v>
      </x:c>
      <x:c r="T18" s="22" t="n">
        <x:v>6688</x:v>
      </x:c>
      <x:c r="U18" s="21" t="str">
        <x:v>根据您未提供申请号的情况，我查询了您名下的最新申请，结果如下：
**最新媒体执照申请（APP-2026-000001）**
- 服务：Media Establishment License（媒体机构执照）
- 类型：新申请
- 创建时间：2026-07-25
- 状态：**草稿（Draft）**
草稿状态表示申请尚未正式提交，无法进入后续审核环节。
如需查看其他申请记录，或确认该申请的具体操作（如提交/继续编辑），请提供申请号或明确需求，我将进一步协助。</x:v>
      </x:c>
      <x:c r="V18" s="21" t="str">
        <x:v>Tool 返回成功</x:v>
      </x:c>
    </x:row>
    <x:row r="19" ht="34" customHeight="1">
      <x:c r="A19" s="21" t="str">
        <x:v>application-status-ar</x:v>
      </x:c>
      <x:c r="B19" s="21" t="str">
        <x:v>ar</x:v>
      </x:c>
      <x:c r="C19" s="21" t="str">
        <x:v>申请状态查询</x:v>
      </x:c>
      <x:c r="D19" s="21" t="str">
        <x:v>أرغب في معرفة آخر حالة لطلب الترخيص الإعلامي الخاص بي.</x:v>
      </x:c>
      <x:c r="E19" s="21" t="str">
        <x:v>application_status</x:v>
      </x:c>
      <x:c r="F19" s="21" t="str">
        <x:v>data_query</x:v>
      </x:c>
      <x:c r="G19" s="21" t="str">
        <x:v>answer</x:v>
      </x:c>
      <x:c r="H19" s="21" t="str">
        <x:v>要求 application number 或明确查询范围，不编造账户状态。</x:v>
      </x:c>
      <x:c r="I19" s="21" t="str">
        <x:v>否</x:v>
      </x:c>
      <x:c r="J19" s="21" t="str">
        <x:v>34a89aa7b43b473d8326cf6540fc3894</x:v>
      </x:c>
      <x:c r="K19" s="21" t="str"/>
      <x:c r="L19" s="22" t="n">
        <x:v>0</x:v>
      </x:c>
      <x:c r="M19" s="22" t="n">
        <x:v>32</x:v>
      </x:c>
      <x:c r="N19" s="21" t="str"/>
      <x:c r="O19" s="21" t="str">
        <x:v>是</x:v>
      </x:c>
      <x:c r="P19" s="21" t="str">
        <x:v>application_status</x:v>
      </x:c>
      <x:c r="Q19" s="21" t="str">
        <x:v>是</x:v>
      </x:c>
      <x:c r="R19" s="21" t="str">
        <x:v>是</x:v>
      </x:c>
      <x:c r="S19" s="22" t="n">
        <x:v>5</x:v>
      </x:c>
      <x:c r="T19" s="22" t="n">
        <x:v>9053</x:v>
      </x:c>
      <x:c r="U19" s="21" t="str">
        <x:v>لم تزودني برقم الطلب، لذا اعتمدت على أحدث الطلبات المسجلة في حسابك. إليك النتيجة:
**أحدث طلب**  
- **رقم الطلب:** APP-2026-000001  
- **الخدمة:** رخصة مؤسسة إعلامية  
- **تاريخ التقديم:** 2026-07-25  
- **الحالة:** **مسودة (Draft)** — لم يتم إرساله بعد.
**إجمالي الطلبات المسجلة (12):**  
- مسودة: 3  
- مقدم: 3  
- في انتظار الدفع: 3  
- مكتمل: 3  
للحصول على حالة طلب محدد بدقة، يرجى تزويدي برقم الطلب (مثل APP-2026-XXXX).</x:v>
      </x:c>
      <x:c r="V19" s="21" t="str">
        <x:v>Tool 返回成功</x:v>
      </x:c>
    </x:row>
    <x:row r="20" ht="34" customHeight="1">
      <x:c r="A20" s="21" t="str">
        <x:v>pending-payment-en</x:v>
      </x:c>
      <x:c r="B20" s="21" t="str">
        <x:v>en</x:v>
      </x:c>
      <x:c r="C20" s="21" t="str">
        <x:v>待付款申请</x:v>
      </x:c>
      <x:c r="D20" s="21" t="str">
        <x:v>Which of my applications are pending payment, and how do I continue?</x:v>
      </x:c>
      <x:c r="E20" s="21" t="str">
        <x:v>application_payment</x:v>
      </x:c>
      <x:c r="F20" s="21" t="str">
        <x:v>data_query</x:v>
      </x:c>
      <x:c r="G20" s="21" t="str">
        <x:v>collect</x:v>
      </x:c>
      <x:c r="H20" s="21" t="str">
        <x:v>调用应用列表，列出 Pending Payment 后要求选择申请并确认。</x:v>
      </x:c>
      <x:c r="I20" s="21" t="str">
        <x:v>否</x:v>
      </x:c>
      <x:c r="J20" s="21" t="str">
        <x:v>34a89aa7b43b473d8326cf6540fc3894</x:v>
      </x:c>
      <x:c r="K20" s="21" t="str"/>
      <x:c r="L20" s="22" t="n">
        <x:v>0</x:v>
      </x:c>
      <x:c r="M20" s="22" t="n">
        <x:v>32</x:v>
      </x:c>
      <x:c r="N20" s="21" t="str"/>
      <x:c r="O20" s="21" t="str">
        <x:v>是</x:v>
      </x:c>
      <x:c r="P20" s="21" t="str">
        <x:v>application_payment</x:v>
      </x:c>
      <x:c r="Q20" s="21" t="str">
        <x:v>是</x:v>
      </x:c>
      <x:c r="R20" s="21" t="str">
        <x:v>是</x:v>
      </x:c>
      <x:c r="S20" s="22" t="n">
        <x:v>5</x:v>
      </x:c>
      <x:c r="T20" s="22" t="n">
        <x:v>4709</x:v>
      </x:c>
      <x:c r="U20" s="21" t="str">
        <x:v>根据最新查询结果，您有 **3 笔待支付申请**：
| 申请编号 | 服务名称 | 类型 | 金额 |
|---|---|---|---|
| APP-2026-000002 | Book Circulation Permit（图书流通许可） | 新申请 | 275 AED |
| APP-2026-000008 | Media Event Permit（媒体活动许可） | 新申请 | 650 AED |
| APP-2026-000012 | Digital News Platform License（数字新闻平台许可） | 续签（Renewal） | 950 AED |
**如何继续支付：**
请回复您要支付的**申请编号**（例如：`APP-2026-000002`），我会为您生成支付预览并和您确认后，再发起支付操作。不会直接扣款。
如需要同时支付多笔，也可以一并告诉我，我会逐笔确认。</x:v>
      </x:c>
      <x:c r="V20" s="21" t="str">
        <x:v>Tool 返回成功</x:v>
      </x:c>
    </x:row>
    <x:row r="21" ht="34" customHeight="1">
      <x:c r="A21" s="21" t="str">
        <x:v>pending-payment-ar</x:v>
      </x:c>
      <x:c r="B21" s="21" t="str">
        <x:v>ar</x:v>
      </x:c>
      <x:c r="C21" s="21" t="str">
        <x:v>待付款申请</x:v>
      </x:c>
      <x:c r="D21" s="21" t="str">
        <x:v>ما هي طلباتي التي ما زالت قيد الدفع وكيف يمكنني المتابعة؟</x:v>
      </x:c>
      <x:c r="E21" s="21" t="str">
        <x:v>application_payment</x:v>
      </x:c>
      <x:c r="F21" s="21" t="str">
        <x:v>data_query</x:v>
      </x:c>
      <x:c r="G21" s="21" t="str">
        <x:v>collect</x:v>
      </x:c>
      <x:c r="H21" s="21" t="str">
        <x:v>调用应用列表，列出 Pending Payment 后要求选择申请并确认。</x:v>
      </x:c>
      <x:c r="I21" s="21" t="str">
        <x:v>否</x:v>
      </x:c>
      <x:c r="J21" s="21" t="str">
        <x:v>34a89aa7b43b473d8326cf6540fc3894</x:v>
      </x:c>
      <x:c r="K21" s="21" t="str"/>
      <x:c r="L21" s="22" t="n">
        <x:v>0</x:v>
      </x:c>
      <x:c r="M21" s="22" t="n">
        <x:v>32</x:v>
      </x:c>
      <x:c r="N21" s="21" t="str"/>
      <x:c r="O21" s="21" t="str">
        <x:v>是</x:v>
      </x:c>
      <x:c r="P21" s="21" t="str">
        <x:v>application_payment</x:v>
      </x:c>
      <x:c r="Q21" s="21" t="str">
        <x:v>是</x:v>
      </x:c>
      <x:c r="R21" s="21" t="str">
        <x:v>是</x:v>
      </x:c>
      <x:c r="S21" s="22" t="n">
        <x:v>5</x:v>
      </x:c>
      <x:c r="T21" s="22" t="n">
        <x:v>4717</x:v>
      </x:c>
      <x:c r="U21" s="21" t="str">
        <x:v>بناءً على بيانات حسابك، لديك **3 طلبات في حالة "في انتظار الدفع" (Pending Payment)**:
| رقم الطلب | الخدمة | المبلغ (درهم إماراتي) | النوع |
|-----------|--------|----------------------|-------|
| APP-2026-000002 | تصريح تداول كتاب | 275 | طلب جديد |
| APP-2026-000008 | تصريح فعالية إعلامية | 650 | طلب جديد |
| APP-2026-000012 | رخصة منصة أخبار رقمية | 950 | تجديد |
**للمتابعة**: يرجى تحديد أي طلب ترغب في إكمال عملية الدفع له، وسأقوم بعرض تفاصيل الدفع للتأكيد قبل أي إجراء.</x:v>
      </x:c>
      <x:c r="V21" s="21" t="str">
        <x:v>Tool 返回成功</x:v>
      </x:c>
    </x:row>
    <x:row r="22" ht="34" customHeight="1">
      <x:c r="A22" s="21" t="str">
        <x:v>permit-download-en</x:v>
      </x:c>
      <x:c r="B22" s="21" t="str">
        <x:v>en</x:v>
      </x:c>
      <x:c r="C22" s="21" t="str">
        <x:v>已签发许可证下载</x:v>
      </x:c>
      <x:c r="D22" s="21" t="str">
        <x:v>I want to download my issued media permit.</x:v>
      </x:c>
      <x:c r="E22" s="21" t="str">
        <x:v>permit_download</x:v>
      </x:c>
      <x:c r="F22" s="21" t="str">
        <x:v>api_call</x:v>
      </x:c>
      <x:c r="G22" s="21" t="str">
        <x:v>collect</x:v>
      </x:c>
      <x:c r="H22" s="21" t="str">
        <x:v>先列出可下载许可，索要 license_id，下载前二次确认。</x:v>
      </x:c>
      <x:c r="I22" s="21" t="str">
        <x:v>否</x:v>
      </x:c>
      <x:c r="J22" s="21" t="str">
        <x:v>34a89aa7b43b473d8326cf6540fc3894</x:v>
      </x:c>
      <x:c r="K22" s="21" t="str"/>
      <x:c r="L22" s="22" t="n">
        <x:v>0</x:v>
      </x:c>
      <x:c r="M22" s="22" t="n">
        <x:v>32</x:v>
      </x:c>
      <x:c r="N22" s="21" t="str"/>
      <x:c r="O22" s="21" t="str">
        <x:v>是</x:v>
      </x:c>
      <x:c r="P22" s="21" t="str">
        <x:v>permit_download</x:v>
      </x:c>
      <x:c r="Q22" s="21" t="str">
        <x:v>否</x:v>
      </x:c>
      <x:c r="R22" s="21" t="str">
        <x:v>是</x:v>
      </x:c>
      <x:c r="S22" s="22" t="n">
        <x:v>5</x:v>
      </x:c>
      <x:c r="T22" s="22" t="n">
        <x:v>5922</x:v>
      </x:c>
      <x:c r="U22" s="21" t="str">
        <x:v>I'd like to help you download your issued media permit. To proceed, I need a bit more information from you.
**Please provide:**
- The permit/license ID or number of the media permit you want to download.
**Note:**
- I cannot view a list of your issued permits from my side — please share the specific permit identifier.
- Once you provide the license ID, I’ll show you a preview and ask for your **explicit confirmation** before the download is processed.
Please enter the permit/license ID to continue.</x:v>
      </x:c>
      <x:c r="V22" s="21" t="str">
        <x:v>流程收集或确认；未执行写入动作</x:v>
      </x:c>
    </x:row>
    <x:row r="23" ht="34" customHeight="1">
      <x:c r="A23" s="21" t="str">
        <x:v>permit-download-ar</x:v>
      </x:c>
      <x:c r="B23" s="21" t="str">
        <x:v>ar</x:v>
      </x:c>
      <x:c r="C23" s="21" t="str">
        <x:v>已签发许可证下载</x:v>
      </x:c>
      <x:c r="D23" s="21" t="str">
        <x:v>أريد تنزيل التصريح الإعلامي الصادر لي.</x:v>
      </x:c>
      <x:c r="E23" s="21" t="str">
        <x:v>permit_download</x:v>
      </x:c>
      <x:c r="F23" s="21" t="str">
        <x:v>api_call</x:v>
      </x:c>
      <x:c r="G23" s="21" t="str">
        <x:v>collect</x:v>
      </x:c>
      <x:c r="H23" s="21" t="str">
        <x:v>先列出可下载许可，索要 license_id，下载前二次确认。</x:v>
      </x:c>
      <x:c r="I23" s="21" t="str">
        <x:v>否</x:v>
      </x:c>
      <x:c r="J23" s="21" t="str">
        <x:v>34a89aa7b43b473d8326cf6540fc3894</x:v>
      </x:c>
      <x:c r="K23" s="21" t="str"/>
      <x:c r="L23" s="22" t="n">
        <x:v>0</x:v>
      </x:c>
      <x:c r="M23" s="22" t="n">
        <x:v>32</x:v>
      </x:c>
      <x:c r="N23" s="21" t="str"/>
      <x:c r="O23" s="21" t="str">
        <x:v>是</x:v>
      </x:c>
      <x:c r="P23" s="21" t="str">
        <x:v>permit_download</x:v>
      </x:c>
      <x:c r="Q23" s="21" t="str">
        <x:v>否</x:v>
      </x:c>
      <x:c r="R23" s="21" t="str">
        <x:v>是</x:v>
      </x:c>
      <x:c r="S23" s="22" t="n">
        <x:v>5</x:v>
      </x:c>
      <x:c r="T23" s="22" t="n">
        <x:v>8945</x:v>
      </x:c>
      <x:c r="U23" s="21" t="str">
        <x:v>يمكنني مساعدتك في تنزيل التصريح الإعلامي الصادر لك. يرجى تزويدي بمعرّف التصريح (license_id) الخاص بك للبدء.
إذا لم تكن تعرف المعرّف، يمكنني مساعدتك في البحث عن التصاريح الصادرة لك، ولكنني سأحتاج إلى معلومات إضافية للتحقق. بعد تحديد التصريح، سأعرض لك تفاصيله وأطلب تأكيدك قبل تنزيل الملف.</x:v>
      </x:c>
      <x:c r="V23" s="21" t="str">
        <x:v>流程收集或确认；未执行写入动作</x:v>
      </x:c>
    </x:row>
    <x:row r="24" ht="34" customHeight="1">
      <x:c r="A24" s="21" t="str">
        <x:v>payment-receipt-en</x:v>
      </x:c>
      <x:c r="B24" s="21" t="str">
        <x:v>en</x:v>
      </x:c>
      <x:c r="C24" s="21" t="str">
        <x:v>付款收据</x:v>
      </x:c>
      <x:c r="D24" s="21" t="str">
        <x:v>Can you help me obtain the receipt for my latest successful payment?</x:v>
      </x:c>
      <x:c r="E24" s="21" t="str">
        <x:v>payment_receipt</x:v>
      </x:c>
      <x:c r="F24" s="21" t="str">
        <x:v>api_call</x:v>
      </x:c>
      <x:c r="G24" s="21" t="str">
        <x:v>collect</x:v>
      </x:c>
      <x:c r="H24" s="21" t="str">
        <x:v>要求 transaction number 或确认最新交易，再执行下载。</x:v>
      </x:c>
      <x:c r="I24" s="21" t="str">
        <x:v>否</x:v>
      </x:c>
      <x:c r="J24" s="21" t="str">
        <x:v>34a89aa7b43b473d8326cf6540fc3894</x:v>
      </x:c>
      <x:c r="K24" s="21" t="str"/>
      <x:c r="L24" s="22" t="n">
        <x:v>0</x:v>
      </x:c>
      <x:c r="M24" s="22" t="n">
        <x:v>32</x:v>
      </x:c>
      <x:c r="N24" s="21" t="str"/>
      <x:c r="O24" s="21" t="str">
        <x:v>是</x:v>
      </x:c>
      <x:c r="P24" s="21" t="str">
        <x:v>payment_receipt</x:v>
      </x:c>
      <x:c r="Q24" s="21" t="str">
        <x:v>否</x:v>
      </x:c>
      <x:c r="R24" s="21" t="str">
        <x:v>是</x:v>
      </x:c>
      <x:c r="S24" s="22" t="n">
        <x:v>5</x:v>
      </x:c>
      <x:c r="T24" s="22" t="n">
        <x:v>8127</x:v>
      </x:c>
      <x:c r="U24" s="21" t="str">
        <x:v>当然可以。根据流程，下载收据需要您确认。请确认您要下载**最新成功交易**的收据，或提供 **transaction number** 以选择其他交易。
- 下载最新收据：请回复确认，我将为您检索并展示收据预览。
- 选择其他交易：请提供交易编号，我将据此查找对应收据。
请问您选择哪种方式？</x:v>
      </x:c>
      <x:c r="V24" s="21" t="str">
        <x:v>流程收集或确认；未执行写入动作</x:v>
      </x:c>
    </x:row>
    <x:row r="25" ht="34" customHeight="1">
      <x:c r="A25" s="21" t="str">
        <x:v>payment-receipt-ar</x:v>
      </x:c>
      <x:c r="B25" s="21" t="str">
        <x:v>ar</x:v>
      </x:c>
      <x:c r="C25" s="21" t="str">
        <x:v>付款收据</x:v>
      </x:c>
      <x:c r="D25" s="21" t="str">
        <x:v>هل يمكنك مساعدتي في الحصول على إيصال آخر دفعة ناجحة؟</x:v>
      </x:c>
      <x:c r="E25" s="21" t="str">
        <x:v>payment_receipt</x:v>
      </x:c>
      <x:c r="F25" s="21" t="str">
        <x:v>api_call</x:v>
      </x:c>
      <x:c r="G25" s="21" t="str">
        <x:v>collect</x:v>
      </x:c>
      <x:c r="H25" s="21" t="str">
        <x:v>要求 transaction number 或确认最新交易，再执行下载。</x:v>
      </x:c>
      <x:c r="I25" s="21" t="str">
        <x:v>否</x:v>
      </x:c>
      <x:c r="J25" s="21" t="str">
        <x:v>34a89aa7b43b473d8326cf6540fc3894</x:v>
      </x:c>
      <x:c r="K25" s="21" t="str"/>
      <x:c r="L25" s="22" t="n">
        <x:v>0</x:v>
      </x:c>
      <x:c r="M25" s="22" t="n">
        <x:v>32</x:v>
      </x:c>
      <x:c r="N25" s="21" t="str"/>
      <x:c r="O25" s="21" t="str">
        <x:v>是</x:v>
      </x:c>
      <x:c r="P25" s="21" t="str">
        <x:v>payment_receipt</x:v>
      </x:c>
      <x:c r="Q25" s="21" t="str">
        <x:v>否</x:v>
      </x:c>
      <x:c r="R25" s="21" t="str">
        <x:v>是</x:v>
      </x:c>
      <x:c r="S25" s="22" t="n">
        <x:v>5</x:v>
      </x:c>
      <x:c r="T25" s="22" t="n">
        <x:v>3084</x:v>
      </x:c>
      <x:c r="U25" s="21" t="str">
        <x:v>أهلاً بك! يمكنني مساعدتك في الحصول على إيصال آخر دفعة ناجحة.
لعرض الإيصال، أحتاج إلى تأكيد منك أولاً:
**الرجاء تأكيد الخيار المطلوب:**
- 📄 **تحميل إيصال آخر عملية ناجحة** (سيتم عرض تفاصيل العملية قبل التحميل)
- 🔄 **اختيار عملية أخرى** (الرجاء تزويدي برقم العملية transaction number)
هل ترغب في متابعة تحميل إيصال آخر دفعة ناجحة؟</x:v>
      </x:c>
      <x:c r="V25" s="21" t="str">
        <x:v>流程收集或确认；未执行写入动作</x:v>
      </x:c>
    </x:row>
    <x:row r="26" ht="34" customHeight="1">
      <x:c r="A26" s="21" t="str">
        <x:v>fine-payment-en</x:v>
      </x:c>
      <x:c r="B26" s="21" t="str">
        <x:v>en</x:v>
      </x:c>
      <x:c r="C26" s="21" t="str">
        <x:v>违规罚款支付</x:v>
      </x:c>
      <x:c r="D26" s="21" t="str">
        <x:v>I need to pay a media violation fine. What information is required?</x:v>
      </x:c>
      <x:c r="E26" s="21" t="str">
        <x:v>fine_payment</x:v>
      </x:c>
      <x:c r="F26" s="21" t="str">
        <x:v>data_query</x:v>
      </x:c>
      <x:c r="G26" s="21" t="str">
        <x:v>collect</x:v>
      </x:c>
      <x:c r="H26" s="21" t="str">
        <x:v>检查实时违规记录，展示金额后仍需明确确认。</x:v>
      </x:c>
      <x:c r="I26" s="21" t="str">
        <x:v>是</x:v>
      </x:c>
      <x:c r="J26" s="21" t="str">
        <x:v>34a89aa7b43b473d8326cf6540fc3894</x:v>
      </x:c>
      <x:c r="K26" s="21" t="str">
        <x:v>bm25, graph, vector</x:v>
      </x:c>
      <x:c r="L26" s="22" t="n">
        <x:v>32</x:v>
      </x:c>
      <x:c r="M26" s="22" t="n">
        <x:v>32</x:v>
      </x:c>
      <x:c r="N26" s="21" t="str">
        <x:v>Violations &amp; Fines 批量支付罚款需求说明.md</x:v>
      </x:c>
      <x:c r="O26" s="21" t="str">
        <x:v>是</x:v>
      </x:c>
      <x:c r="P26" s="21" t="str">
        <x:v>fine_payment</x:v>
      </x:c>
      <x:c r="Q26" s="21" t="str">
        <x:v>否</x:v>
      </x:c>
      <x:c r="R26" s="21" t="str">
        <x:v>是</x:v>
      </x:c>
      <x:c r="S26" s="22" t="n">
        <x:v>4</x:v>
      </x:c>
      <x:c r="T26" s="22" t="n">
        <x:v>5862</x:v>
      </x:c>
      <x:c r="U26" s="21" t="str">
        <x:v>要支付媒体违规罚款，我需要您提供**违规记录编号（fine_reference）**。这个编号通常在您收到的罚款通知单或违规记录中可以看到。
请您将编号提供给我，收到后我会为您查询并展示：
- 罚款金额
- 支付方式及收款信息
请您核对以上信息无误后，**明确确认**，我才会执行支付操作。在您确认之前，我不会进行任何扣款或支付动作。
如果您找不到编号，建议先查看官方通知文件；也可以告诉我通知上的其他关键信息，我会尽力协助您定位记录。</x:v>
      </x:c>
      <x:c r="V26" s="21" t="str">
        <x:v>流程收集或确认；未执行写入动作</x:v>
      </x:c>
    </x:row>
    <x:row r="27" ht="34" customHeight="1">
      <x:c r="A27" s="21" t="str">
        <x:v>fine-payment-ar</x:v>
      </x:c>
      <x:c r="B27" s="21" t="str">
        <x:v>ar</x:v>
      </x:c>
      <x:c r="C27" s="21" t="str">
        <x:v>违规罚款支付</x:v>
      </x:c>
      <x:c r="D27" s="21" t="str">
        <x:v>أحتاج إلى دفع غرامة مخالفة إعلامية، ما المعلومات المطلوبة؟</x:v>
      </x:c>
      <x:c r="E27" s="21" t="str">
        <x:v>fine_payment</x:v>
      </x:c>
      <x:c r="F27" s="21" t="str">
        <x:v>data_query</x:v>
      </x:c>
      <x:c r="G27" s="21" t="str">
        <x:v>collect</x:v>
      </x:c>
      <x:c r="H27" s="21" t="str">
        <x:v>检查实时违规记录，展示金额后仍需明确确认。</x:v>
      </x:c>
      <x:c r="I27" s="21" t="str">
        <x:v>是</x:v>
      </x:c>
      <x:c r="J27" s="21" t="str">
        <x:v>34a89aa7b43b473d8326cf6540fc3894</x:v>
      </x:c>
      <x:c r="K27" s="21" t="str">
        <x:v>bm25, graph, vector</x:v>
      </x:c>
      <x:c r="L27" s="22" t="n">
        <x:v>32</x:v>
      </x:c>
      <x:c r="M27" s="22" t="n">
        <x:v>32</x:v>
      </x:c>
      <x:c r="N27" s="21" t="str">
        <x:v>Violations &amp; Fines 批量支付罚款需求说明.md</x:v>
      </x:c>
      <x:c r="O27" s="21" t="str">
        <x:v>是</x:v>
      </x:c>
      <x:c r="P27" s="21" t="str">
        <x:v>fine_payment</x:v>
      </x:c>
      <x:c r="Q27" s="21" t="str">
        <x:v>否</x:v>
      </x:c>
      <x:c r="R27" s="21" t="str">
        <x:v>是</x:v>
      </x:c>
      <x:c r="S27" s="22" t="n">
        <x:v>4</x:v>
      </x:c>
      <x:c r="T27" s="22" t="n">
        <x:v>4584</x:v>
      </x:c>
      <x:c r="U27" s="21" t="str">
        <x:v>لدفع غرامة مخالفة إعلامية، أحتاج منك المعلومات التالية:
1. **مرجع المخالفة** (مثل رقم المخالفة أو المرجع الرسمي)  
2. **اسم الجهة/المنصة الإعلامية** المرتبطة بالمخالفة  
3. **تاريخ المخالفة** أو أي تفاصيل إضافية إن وجدت  
بعد تزويدي بهذه البيانات، سأتحقق من تفاصيل الغرامة لديك، وسأعرض لك المبلغ وطريقة الدفع.  
**لن يتم تنفيذ أي عملية دفع إلا بعد مراجعتك وتأكيدك الصريح للعملية.**  
هل لديك مرجع المخالفة الآن؟</x:v>
      </x:c>
      <x:c r="V27" s="21" t="str">
        <x:v>流程收集或确认；未执行写入动作</x:v>
      </x:c>
    </x:row>
    <x:row r="28" ht="34" customHeight="1">
      <x:c r="A28" s="21" t="str">
        <x:v>fine-appeal-en</x:v>
      </x:c>
      <x:c r="B28" s="21" t="str">
        <x:v>en</x:v>
      </x:c>
      <x:c r="C28" s="21" t="str">
        <x:v>罚款申诉</x:v>
      </x:c>
      <x:c r="D28" s="21" t="str">
        <x:v>I want to appeal a media violation fine because the facts are incorrect.</x:v>
      </x:c>
      <x:c r="E28" s="21" t="str">
        <x:v>fine_appeal</x:v>
      </x:c>
      <x:c r="F28" s="21" t="str">
        <x:v>api_call</x:v>
      </x:c>
      <x:c r="G28" s="21" t="str">
        <x:v>collect</x:v>
      </x:c>
      <x:c r="H28" s="21" t="str">
        <x:v>收集 violation number、理由和详情，先预览，不直接提交。</x:v>
      </x:c>
      <x:c r="I28" s="21" t="str">
        <x:v>否</x:v>
      </x:c>
      <x:c r="J28" s="21" t="str">
        <x:v>34a89aa7b43b473d8326cf6540fc3894</x:v>
      </x:c>
      <x:c r="K28" s="21" t="str"/>
      <x:c r="L28" s="22" t="n">
        <x:v>0</x:v>
      </x:c>
      <x:c r="M28" s="22" t="n">
        <x:v>32</x:v>
      </x:c>
      <x:c r="N28" s="21" t="str"/>
      <x:c r="O28" s="21" t="str">
        <x:v>是</x:v>
      </x:c>
      <x:c r="P28" s="21" t="str">
        <x:v>fine_appeal</x:v>
      </x:c>
      <x:c r="Q28" s="21" t="str">
        <x:v>否</x:v>
      </x:c>
      <x:c r="R28" s="21" t="str">
        <x:v>是</x:v>
      </x:c>
      <x:c r="S28" s="22" t="n">
        <x:v>5</x:v>
      </x:c>
      <x:c r="T28" s="22" t="n">
        <x:v>6628</x:v>
      </x:c>
      <x:c r="U28" s="21" t="str">
        <x:v>To assist you with appealing a media violation fine based on incorrect facts, I’ll need a few details from you first. Please provide:
1. **Violation number** – the reference or ticket number for the fine.  
2. **Appeal reason** – you’ve mentioned “facts are incorrect,” but please briefly confirm this as your official reason.  
3. **Appeal details** – a clear explanation of which facts are incorrect and what the correct facts are. Include any supporting context if available.
Once you supply these, I’ll prepare a preview of your appeal for your review. No submission will be made until you explicitly confirm the preview.</x:v>
      </x:c>
      <x:c r="V28" s="21" t="str">
        <x:v>流程收集或确认；未执行写入动作</x:v>
      </x:c>
    </x:row>
    <x:row r="29" ht="34" customHeight="1">
      <x:c r="A29" s="21" t="str">
        <x:v>fine-appeal-ar</x:v>
      </x:c>
      <x:c r="B29" s="21" t="str">
        <x:v>ar</x:v>
      </x:c>
      <x:c r="C29" s="21" t="str">
        <x:v>罚款申诉</x:v>
      </x:c>
      <x:c r="D29" s="21" t="str">
        <x:v>أريد تقديم استئناف على غرامة مخالفة إعلامية لأن الوقائع غير صحيحة.</x:v>
      </x:c>
      <x:c r="E29" s="21" t="str">
        <x:v>fine_appeal</x:v>
      </x:c>
      <x:c r="F29" s="21" t="str">
        <x:v>api_call</x:v>
      </x:c>
      <x:c r="G29" s="21" t="str">
        <x:v>collect</x:v>
      </x:c>
      <x:c r="H29" s="21" t="str">
        <x:v>收集 violation number、理由和详情，先预览，不直接提交。</x:v>
      </x:c>
      <x:c r="I29" s="21" t="str">
        <x:v>否</x:v>
      </x:c>
      <x:c r="J29" s="21" t="str">
        <x:v>34a89aa7b43b473d8326cf6540fc3894</x:v>
      </x:c>
      <x:c r="K29" s="21" t="str"/>
      <x:c r="L29" s="22" t="n">
        <x:v>0</x:v>
      </x:c>
      <x:c r="M29" s="22" t="n">
        <x:v>32</x:v>
      </x:c>
      <x:c r="N29" s="21" t="str"/>
      <x:c r="O29" s="21" t="str">
        <x:v>是</x:v>
      </x:c>
      <x:c r="P29" s="21" t="str">
        <x:v>fine_appeal</x:v>
      </x:c>
      <x:c r="Q29" s="21" t="str">
        <x:v>否</x:v>
      </x:c>
      <x:c r="R29" s="21" t="str">
        <x:v>是</x:v>
      </x:c>
      <x:c r="S29" s="22" t="n">
        <x:v>5</x:v>
      </x:c>
      <x:c r="T29" s="22" t="n">
        <x:v>4332</x:v>
      </x:c>
      <x:c r="U29" s="21" t="str">
        <x:v>لتقديم طلب استئناف على غرامة المخالفة الإعلامية، يرجى تزويدي بالبيانات التالية:
1. **رقم المخالفة** (`violation_number`)
2. **سبب الاستئناف** (`appeal_reason`)  
   → يمكن إدراج "الوقائع غير صحيحة" كسبب موجز.
3. **تفاصيل الاستئناف** (`appeal_details`)  
   → اشرح الوقائع الفعلية كما تعتقد أنها صحيحة، مع أي مستندات أو أدلة تدعم طلبك.
ملاحظة: لا أستطيع التحقق من صحة المخالفة أو نتيجة الاستئناف مسبقًا، وقرار قبول الطلب يعود للجهة المختصة.
عند اكتمال البيانات، سأعرض عليك **معاينة كاملة** للطلب قبل الإرسال، ولن أرسل أي شيء دون تأكيدك الصريح.</x:v>
      </x:c>
      <x:c r="V29" s="21" t="str">
        <x:v>流程收集或确认；未执行写入动作</x:v>
      </x:c>
    </x:row>
    <x:row r="30" ht="34" customHeight="1">
      <x:c r="A30" s="21" t="str">
        <x:v>complaint-en</x:v>
      </x:c>
      <x:c r="B30" s="21" t="str">
        <x:v>en</x:v>
      </x:c>
      <x:c r="C30" s="21" t="str">
        <x:v>延迟申请投诉</x:v>
      </x:c>
      <x:c r="D30" s="21" t="str">
        <x:v>My media application is delayed and I want to file a complaint.</x:v>
      </x:c>
      <x:c r="E30" s="21" t="str">
        <x:v>complaint_create</x:v>
      </x:c>
      <x:c r="F30" s="21" t="str">
        <x:v>api_call</x:v>
      </x:c>
      <x:c r="G30" s="21" t="str">
        <x:v>collect</x:v>
      </x:c>
      <x:c r="H30" s="21" t="str">
        <x:v>要求 application number 和投诉详情，生成预览。</x:v>
      </x:c>
      <x:c r="I30" s="21" t="str">
        <x:v>否</x:v>
      </x:c>
      <x:c r="J30" s="21" t="str">
        <x:v>34a89aa7b43b473d8326cf6540fc3894</x:v>
      </x:c>
      <x:c r="K30" s="21" t="str"/>
      <x:c r="L30" s="22" t="n">
        <x:v>0</x:v>
      </x:c>
      <x:c r="M30" s="22" t="n">
        <x:v>32</x:v>
      </x:c>
      <x:c r="N30" s="21" t="str"/>
      <x:c r="O30" s="21" t="str">
        <x:v>是</x:v>
      </x:c>
      <x:c r="P30" s="21" t="str">
        <x:v>complaint_create</x:v>
      </x:c>
      <x:c r="Q30" s="21" t="str">
        <x:v>否</x:v>
      </x:c>
      <x:c r="R30" s="21" t="str">
        <x:v>是</x:v>
      </x:c>
      <x:c r="S30" s="22" t="n">
        <x:v>5</x:v>
      </x:c>
      <x:c r="T30" s="22" t="n">
        <x:v>5603</x:v>
      </x:c>
      <x:c r="U30" s="21" t="str">
        <x:v>To help you file a complaint about your delayed media application, please provide the following details:
1. **Application number** – your media application reference/ID.
2. **Complaint details** – a clear description of the delay and what you expect.
Once you provide these, I will show you a preview of the complaint before submitting it, and ask for your confirmation.
Please share the information above so I can proceed.</x:v>
      </x:c>
      <x:c r="V30" s="21" t="str">
        <x:v>流程收集或确认；未执行写入动作</x:v>
      </x:c>
    </x:row>
    <x:row r="31" ht="34" customHeight="1">
      <x:c r="A31" s="21" t="str">
        <x:v>complaint-ar</x:v>
      </x:c>
      <x:c r="B31" s="21" t="str">
        <x:v>ar</x:v>
      </x:c>
      <x:c r="C31" s="21" t="str">
        <x:v>延迟申请投诉</x:v>
      </x:c>
      <x:c r="D31" s="21" t="str">
        <x:v>تأخر طلب الترخيص الإعلامي وأرغب في تقديم شكوى.</x:v>
      </x:c>
      <x:c r="E31" s="21" t="str">
        <x:v>complaint_create</x:v>
      </x:c>
      <x:c r="F31" s="21" t="str">
        <x:v>api_call</x:v>
      </x:c>
      <x:c r="G31" s="21" t="str">
        <x:v>collect</x:v>
      </x:c>
      <x:c r="H31" s="21" t="str">
        <x:v>要求 application number 和投诉详情，生成预览。</x:v>
      </x:c>
      <x:c r="I31" s="21" t="str">
        <x:v>否</x:v>
      </x:c>
      <x:c r="J31" s="21" t="str">
        <x:v>34a89aa7b43b473d8326cf6540fc3894</x:v>
      </x:c>
      <x:c r="K31" s="21" t="str"/>
      <x:c r="L31" s="22" t="n">
        <x:v>0</x:v>
      </x:c>
      <x:c r="M31" s="22" t="n">
        <x:v>32</x:v>
      </x:c>
      <x:c r="N31" s="21" t="str"/>
      <x:c r="O31" s="21" t="str">
        <x:v>是</x:v>
      </x:c>
      <x:c r="P31" s="21" t="str">
        <x:v>complaint_create</x:v>
      </x:c>
      <x:c r="Q31" s="21" t="str">
        <x:v>否</x:v>
      </x:c>
      <x:c r="R31" s="21" t="str">
        <x:v>是</x:v>
      </x:c>
      <x:c r="S31" s="22" t="n">
        <x:v>5</x:v>
      </x:c>
      <x:c r="T31" s="22" t="n">
        <x:v>5125</x:v>
      </x:c>
      <x:c r="U31" s="21" t="str">
        <x:v>نفهم أن طلب الترخيص الإعلامي لديك متأخر وتريد تقديم شكوى.  
لتقديم الشكوى، نحتاج منك المعلومات التالية:
- **رقم الطلب** (application_number)  
- **تفاصيل الشكوى** (complaint_details) مع وصف واضح للتأخير وما تراه مخالفًا.
بعد إرسال هذه المعلومات، سنعرض لك **معاينة للشكوى** قبل تقديمها نهائيًا، ولن يتم الإرسال إلا بعد موافقتك الصريحة.
يرجى تزويدنا برقم الطلب وتفاصيل الشكوى لنبدأ الإجراء.</x:v>
      </x:c>
      <x:c r="V31" s="21" t="str">
        <x:v>流程收集或确认；未执行写入动作</x:v>
      </x:c>
    </x:row>
    <x:row r="32" ht="34" customHeight="1">
      <x:c r="A32" s="21" t="str">
        <x:v>enquiry-followup-en</x:v>
      </x:c>
      <x:c r="B32" s="21" t="str">
        <x:v>en</x:v>
      </x:c>
      <x:c r="C32" s="21" t="str">
        <x:v>咨询跟进</x:v>
      </x:c>
      <x:c r="D32" s="21" t="str">
        <x:v>Please follow up on my earlier enquiry about a media permit.</x:v>
      </x:c>
      <x:c r="E32" s="21" t="str">
        <x:v>enquiry_followup</x:v>
      </x:c>
      <x:c r="F32" s="21" t="str">
        <x:v>data_query</x:v>
      </x:c>
      <x:c r="G32" s="21" t="str">
        <x:v>collect</x:v>
      </x:c>
      <x:c r="H32" s="21" t="str">
        <x:v>要求 enquiry reference，不声称已完成跟进。</x:v>
      </x:c>
      <x:c r="I32" s="21" t="str">
        <x:v>否</x:v>
      </x:c>
      <x:c r="J32" s="21" t="str">
        <x:v>34a89aa7b43b473d8326cf6540fc3894</x:v>
      </x:c>
      <x:c r="K32" s="21" t="str"/>
      <x:c r="L32" s="22" t="n">
        <x:v>0</x:v>
      </x:c>
      <x:c r="M32" s="22" t="n">
        <x:v>32</x:v>
      </x:c>
      <x:c r="N32" s="21" t="str"/>
      <x:c r="O32" s="21" t="str">
        <x:v>是</x:v>
      </x:c>
      <x:c r="P32" s="21" t="str">
        <x:v>enquiry_followup</x:v>
      </x:c>
      <x:c r="Q32" s="21" t="str">
        <x:v>否</x:v>
      </x:c>
      <x:c r="R32" s="21" t="str">
        <x:v>是</x:v>
      </x:c>
      <x:c r="S32" s="22" t="n">
        <x:v>5</x:v>
      </x:c>
      <x:c r="T32" s="22" t="n">
        <x:v>2301</x:v>
      </x:c>
      <x:c r="U32" s="21" t="str">
        <x:v>好的，我来帮您跟进媒体许可证（media permit）的查询。
为了准确定位您的查询记录，请提供以下信息：
- **Enquiry Reference（查询编号）**：这是您之前提交查询时获得的编号，通常在确认邮件或提交回执中可以看到。
如果没有查询编号，也可以提供以下任一信息辅助查找（任选）：
- 您提交查询时用的邮箱地址
- 提交日期（大约时间即可）
---
拿到编号后，我会帮您查询最新的处理状态。请注意：在拿到记录之前，我无法声称已完成跟进。</x:v>
      </x:c>
      <x:c r="V32" s="21" t="str">
        <x:v>流程收集或确认；未执行写入动作</x:v>
      </x:c>
    </x:row>
    <x:row r="33" ht="34" customHeight="1">
      <x:c r="A33" s="21" t="str">
        <x:v>enquiry-followup-ar</x:v>
      </x:c>
      <x:c r="B33" s="21" t="str">
        <x:v>ar</x:v>
      </x:c>
      <x:c r="C33" s="21" t="str">
        <x:v>咨询跟进</x:v>
      </x:c>
      <x:c r="D33" s="21" t="str">
        <x:v>يرجى متابعة الاستفسار السابق حول التصريح الإعلامي.</x:v>
      </x:c>
      <x:c r="E33" s="21" t="str">
        <x:v>enquiry_followup</x:v>
      </x:c>
      <x:c r="F33" s="21" t="str">
        <x:v>data_query</x:v>
      </x:c>
      <x:c r="G33" s="21" t="str">
        <x:v>collect</x:v>
      </x:c>
      <x:c r="H33" s="21" t="str">
        <x:v>要求 enquiry reference，不声称已完成跟进。</x:v>
      </x:c>
      <x:c r="I33" s="21" t="str">
        <x:v>否</x:v>
      </x:c>
      <x:c r="J33" s="21" t="str">
        <x:v>34a89aa7b43b473d8326cf6540fc3894</x:v>
      </x:c>
      <x:c r="K33" s="21" t="str"/>
      <x:c r="L33" s="22" t="n">
        <x:v>0</x:v>
      </x:c>
      <x:c r="M33" s="22" t="n">
        <x:v>32</x:v>
      </x:c>
      <x:c r="N33" s="21" t="str"/>
      <x:c r="O33" s="21" t="str">
        <x:v>是</x:v>
      </x:c>
      <x:c r="P33" s="21" t="str">
        <x:v>enquiry_followup</x:v>
      </x:c>
      <x:c r="Q33" s="21" t="str">
        <x:v>否</x:v>
      </x:c>
      <x:c r="R33" s="21" t="str">
        <x:v>是</x:v>
      </x:c>
      <x:c r="S33" s="22" t="n">
        <x:v>5</x:v>
      </x:c>
      <x:c r="T33" s="22" t="n">
        <x:v>4645</x:v>
      </x:c>
      <x:c r="U33" s="21" t="str">
        <x:v>لمتابعة استفسارك السابق بخصوص التصريح الإعلامي، يرجى تزويدي برقم المرجع (Enquiry Reference). لا يمكنني الوصول إلى سجلّ سابق أو تأكيد أي متابعة دون هذا المرجع.  
بمجرد توفيره، سأتحقق من حالة الطلب وأطلعك على التحديثات المناسبة.  
هل يمكنك مشاركة رقم المرجع؟</x:v>
      </x:c>
      <x:c r="V33" s="21" t="str">
        <x:v>流程收集或确认；未执行写入动作</x:v>
      </x:c>
    </x:row>
    <x:row r="34" ht="34" customHeight="1">
      <x:c r="A34" s="21" t="str">
        <x:v>technical-payment-en</x:v>
      </x:c>
      <x:c r="B34" s="21" t="str">
        <x:v>en</x:v>
      </x:c>
      <x:c r="C34" s="21" t="str">
        <x:v>支付技术咨询</x:v>
      </x:c>
      <x:c r="D34" s="21" t="str">
        <x:v>I cannot complete the payment and need a technical enquiry.</x:v>
      </x:c>
      <x:c r="E34" s="21" t="str">
        <x:v>technical_enquiry</x:v>
      </x:c>
      <x:c r="F34" s="21" t="str">
        <x:v>api_call</x:v>
      </x:c>
      <x:c r="G34" s="21" t="str">
        <x:v>collect</x:v>
      </x:c>
      <x:c r="H34" s="21" t="str">
        <x:v>收集 transaction number、错误信息和发生时间。</x:v>
      </x:c>
      <x:c r="I34" s="21" t="str">
        <x:v>否</x:v>
      </x:c>
      <x:c r="J34" s="21" t="str">
        <x:v>34a89aa7b43b473d8326cf6540fc3894</x:v>
      </x:c>
      <x:c r="K34" s="21" t="str"/>
      <x:c r="L34" s="22" t="n">
        <x:v>0</x:v>
      </x:c>
      <x:c r="M34" s="22" t="n">
        <x:v>32</x:v>
      </x:c>
      <x:c r="N34" s="21" t="str"/>
      <x:c r="O34" s="21" t="str">
        <x:v>是</x:v>
      </x:c>
      <x:c r="P34" s="21" t="str">
        <x:v>technical_enquiry</x:v>
      </x:c>
      <x:c r="Q34" s="21" t="str">
        <x:v>否</x:v>
      </x:c>
      <x:c r="R34" s="21" t="str">
        <x:v>是</x:v>
      </x:c>
      <x:c r="S34" s="22" t="n">
        <x:v>5</x:v>
      </x:c>
      <x:c r="T34" s="22" t="n">
        <x:v>2848</x:v>
      </x:c>
      <x:c r="U34" s="21" t="str">
        <x:v>好的，我可以为您生成技术 enquiry（技术查询）预览。为了准确记录和跟进，请提供以下信息：
1. **交易编号**（transaction_number）
2. **错误信息**（error_message），例如页面或接口返回的具体报错内容
3. **发生时间**（occurred_at），尽量精确到日期和时间
在提供这些信息之前，我无法生成查询预览，也无法确认具体故障原因。请先补充上述字段，我将展示完整的查询内容供您确认后再提交。</x:v>
      </x:c>
      <x:c r="V34" s="21" t="str">
        <x:v>流程收集或确认；未执行写入动作</x:v>
      </x:c>
    </x:row>
    <x:row r="35" ht="34" customHeight="1">
      <x:c r="A35" s="21" t="str">
        <x:v>technical-payment-ar</x:v>
      </x:c>
      <x:c r="B35" s="21" t="str">
        <x:v>ar</x:v>
      </x:c>
      <x:c r="C35" s="21" t="str">
        <x:v>支付技术咨询</x:v>
      </x:c>
      <x:c r="D35" s="21" t="str">
        <x:v>تعذر الدفع وأحتاج إلى تقديم استفسار تقني.</x:v>
      </x:c>
      <x:c r="E35" s="21" t="str">
        <x:v>technical_enquiry</x:v>
      </x:c>
      <x:c r="F35" s="21" t="str">
        <x:v>api_call</x:v>
      </x:c>
      <x:c r="G35" s="21" t="str">
        <x:v>collect</x:v>
      </x:c>
      <x:c r="H35" s="21" t="str">
        <x:v>收集 transaction number、错误信息和发生时间。</x:v>
      </x:c>
      <x:c r="I35" s="21" t="str">
        <x:v>否</x:v>
      </x:c>
      <x:c r="J35" s="21" t="str">
        <x:v>34a89aa7b43b473d8326cf6540fc3894</x:v>
      </x:c>
      <x:c r="K35" s="21" t="str"/>
      <x:c r="L35" s="22" t="n">
        <x:v>0</x:v>
      </x:c>
      <x:c r="M35" s="22" t="n">
        <x:v>32</x:v>
      </x:c>
      <x:c r="N35" s="21" t="str"/>
      <x:c r="O35" s="21" t="str">
        <x:v>是</x:v>
      </x:c>
      <x:c r="P35" s="21" t="str">
        <x:v>technical_enquiry</x:v>
      </x:c>
      <x:c r="Q35" s="21" t="str">
        <x:v>否</x:v>
      </x:c>
      <x:c r="R35" s="21" t="str">
        <x:v>是</x:v>
      </x:c>
      <x:c r="S35" s="22" t="n">
        <x:v>5</x:v>
      </x:c>
      <x:c r="T35" s="22" t="n">
        <x:v>4591</x:v>
      </x:c>
      <x:c r="U35" s="21" t="str">
        <x:v>نأسف لتعذّر عملية الدفع. لتقديم استفسار تقني، يرجى تزويدنا بالمعلومات التالية:
- رقم العملية (transaction number)
- رسالة الخطأ الظاهرة (error message)
- وقت حدوث المشكلة (occurred at)
بعد استلام هذه البيانات، سنقوم بإنشاء معاينة للاستفسار التقني ونرسلها إليك للمراجعة والموافقة قبل أي إجراء إضافي.</x:v>
      </x:c>
      <x:c r="V35" s="21" t="str">
        <x:v>流程收集或确认；未执行写入动作</x:v>
      </x:c>
    </x:row>
    <x:row r="36" ht="34" customHeight="1">
      <x:c r="A36" s="21" t="str">
        <x:v>profile-review-en</x:v>
      </x:c>
      <x:c r="B36" s="21" t="str">
        <x:v>en</x:v>
      </x:c>
      <x:c r="C36" s="21" t="str">
        <x:v>Profile 审核状态</x:v>
      </x:c>
      <x:c r="D36" s="21" t="str">
        <x:v>My profile is under review. Can I submit a new media application?</x:v>
      </x:c>
      <x:c r="E36" s="21" t="str">
        <x:v>profile_status</x:v>
      </x:c>
      <x:c r="F36" s="21" t="str">
        <x:v>data_query</x:v>
      </x:c>
      <x:c r="G36" s="21" t="str">
        <x:v>collect</x:v>
      </x:c>
      <x:c r="H36" s="21" t="str">
        <x:v>要求 profile ID 并区分 profile 审核和申请资格。</x:v>
      </x:c>
      <x:c r="I36" s="21" t="str">
        <x:v>否</x:v>
      </x:c>
      <x:c r="J36" s="21" t="str">
        <x:v>34a89aa7b43b473d8326cf6540fc3894</x:v>
      </x:c>
      <x:c r="K36" s="21" t="str"/>
      <x:c r="L36" s="22" t="n">
        <x:v>0</x:v>
      </x:c>
      <x:c r="M36" s="22" t="n">
        <x:v>32</x:v>
      </x:c>
      <x:c r="N36" s="21" t="str"/>
      <x:c r="O36" s="21" t="str">
        <x:v>是</x:v>
      </x:c>
      <x:c r="P36" s="21" t="str">
        <x:v>profile_status</x:v>
      </x:c>
      <x:c r="Q36" s="21" t="str">
        <x:v>否</x:v>
      </x:c>
      <x:c r="R36" s="21" t="str">
        <x:v>是</x:v>
      </x:c>
      <x:c r="S36" s="22" t="n">
        <x:v>5</x:v>
      </x:c>
      <x:c r="T36" s="22" t="n">
        <x:v>4087</x:v>
      </x:c>
      <x:c r="U36" s="21" t="str">
        <x:v>您的 profile 目前仍在审核中，因此通常无法直接提交新的媒体申请，需要先等待当前 profile 的审核结果。
如果您还有其他**已批准**的 profile（例如 Individual 或 Business），请提供对应的 profile ID，我将帮您确认是否可以用它来新建申请。
请确认：您是否有其他已批准的 profile？</x:v>
      </x:c>
      <x:c r="V36" s="21" t="str">
        <x:v>流程收集或确认；未执行写入动作</x:v>
      </x:c>
    </x:row>
    <x:row r="37" ht="34" customHeight="1">
      <x:c r="A37" s="21" t="str">
        <x:v>profile-review-ar</x:v>
      </x:c>
      <x:c r="B37" s="21" t="str">
        <x:v>ar</x:v>
      </x:c>
      <x:c r="C37" s="21" t="str">
        <x:v>Profile 审核状态</x:v>
      </x:c>
      <x:c r="D37" s="21" t="str">
        <x:v>ملفي قيد المراجعة، هل يمكنني تقديم طلب إعلامي جديد؟</x:v>
      </x:c>
      <x:c r="E37" s="21" t="str">
        <x:v>profile_status</x:v>
      </x:c>
      <x:c r="F37" s="21" t="str">
        <x:v>data_query</x:v>
      </x:c>
      <x:c r="G37" s="21" t="str">
        <x:v>collect</x:v>
      </x:c>
      <x:c r="H37" s="21" t="str">
        <x:v>要求 profile ID 并区分 profile 审核和申请资格。</x:v>
      </x:c>
      <x:c r="I37" s="21" t="str">
        <x:v>否</x:v>
      </x:c>
      <x:c r="J37" s="21" t="str">
        <x:v>34a89aa7b43b473d8326cf6540fc3894</x:v>
      </x:c>
      <x:c r="K37" s="21" t="str"/>
      <x:c r="L37" s="22" t="n">
        <x:v>0</x:v>
      </x:c>
      <x:c r="M37" s="22" t="n">
        <x:v>32</x:v>
      </x:c>
      <x:c r="N37" s="21" t="str"/>
      <x:c r="O37" s="21" t="str">
        <x:v>是</x:v>
      </x:c>
      <x:c r="P37" s="21" t="str">
        <x:v>profile_status</x:v>
      </x:c>
      <x:c r="Q37" s="21" t="str">
        <x:v>否</x:v>
      </x:c>
      <x:c r="R37" s="21" t="str">
        <x:v>是</x:v>
      </x:c>
      <x:c r="S37" s="22" t="n">
        <x:v>5</x:v>
      </x:c>
      <x:c r="T37" s="22" t="n">
        <x:v>10409</x:v>
      </x:c>
      <x:c r="U37" s="21" t="str">
        <x:v>للتحقق من إمكانية تقديم طلب إعلامي جديد أثناء مراجعة ملفك، أحتاج أولاً إلى تحديد الملف المعتمد (profile) أو رقم التعريف الخاص به.  
يرجى اختيار أحد الخيارات التالية أو إدخال `profile_id`:
- **Individual**
- **Business**
بعد الحصول على هذه المعلومات، سأتحقق من حالة الملف وأخبرك بالخطوات المتاحة بدقة.  
ملاحظة: الملفات قيد المراجعة عادةً لا تسمح بطلب جديد حتى اكتمال المراجعة، لكن القرار النهائي يعتمد على بياناتك المسجلة.</x:v>
      </x:c>
      <x:c r="V37" s="21" t="str">
        <x:v>流程收集或确认；未执行写入动作</x:v>
      </x:c>
    </x:row>
    <x:row r="38" ht="34" customHeight="1">
      <x:c r="A38" s="21" t="str">
        <x:v>ocr-document-en</x:v>
      </x:c>
      <x:c r="B38" s="21" t="str">
        <x:v>en</x:v>
      </x:c>
      <x:c r="C38" s="21" t="str">
        <x:v>OCR 材料识别</x:v>
      </x:c>
      <x:c r="D38" s="21" t="str">
        <x:v>Please read the attached Arabic trade license and list the fields needed for a media application.</x:v>
      </x:c>
      <x:c r="E38" s="21" t="str">
        <x:v>document_ocr</x:v>
      </x:c>
      <x:c r="F38" s="21" t="str">
        <x:v>api_call</x:v>
      </x:c>
      <x:c r="G38" s="21" t="str">
        <x:v>collect</x:v>
      </x:c>
      <x:c r="H38" s="21" t="str">
        <x:v>调用 PaddleOCR-VL-1.6 工具；不能把 OCR 结果当作已提交申请。</x:v>
      </x:c>
      <x:c r="I38" s="21" t="str">
        <x:v>否</x:v>
      </x:c>
      <x:c r="J38" s="21" t="str">
        <x:v>34a89aa7b43b473d8326cf6540fc3894</x:v>
      </x:c>
      <x:c r="K38" s="21" t="str"/>
      <x:c r="L38" s="22" t="n">
        <x:v>0</x:v>
      </x:c>
      <x:c r="M38" s="22" t="n">
        <x:v>32</x:v>
      </x:c>
      <x:c r="N38" s="21" t="str"/>
      <x:c r="O38" s="21" t="str">
        <x:v>是</x:v>
      </x:c>
      <x:c r="P38" s="21" t="str">
        <x:v>document_ocr</x:v>
      </x:c>
      <x:c r="Q38" s="21" t="str">
        <x:v>否</x:v>
      </x:c>
      <x:c r="R38" s="21" t="str">
        <x:v>是</x:v>
      </x:c>
      <x:c r="S38" s="22" t="n">
        <x:v>5</x:v>
      </x:c>
      <x:c r="T38" s="22" t="n">
        <x:v>3314</x:v>
      </x:c>
      <x:c r="U38" s="21" t="str">
        <x:v>I don't see any attachment in our conversation. To read the Arabic trade license and list the fields needed for a media application, please provide:
- **file**: Upload the Arabic trade license document (PDF, image, or scanned copy).
- **file_type**: Specify the type (e.g., PDF, JPG, PNG).
Please upload the file and confirm the file type so I can extract and analyze the license fields for you.</x:v>
      </x:c>
      <x:c r="V38" s="21" t="str">
        <x:v>流程收集或确认；未执行写入动作</x:v>
      </x:c>
    </x:row>
    <x:row r="39" ht="34" customHeight="1">
      <x:c r="A39" s="21" t="str">
        <x:v>ocr-document-ar</x:v>
      </x:c>
      <x:c r="B39" s="21" t="str">
        <x:v>ar</x:v>
      </x:c>
      <x:c r="C39" s="21" t="str">
        <x:v>OCR 材料识别</x:v>
      </x:c>
      <x:c r="D39" s="21" t="str">
        <x:v>يرجى قراءة رخصة التجارة العربية المرفقة وتحديد الحقول المطلوبة لطلب إعلامي.</x:v>
      </x:c>
      <x:c r="E39" s="21" t="str">
        <x:v>document_ocr</x:v>
      </x:c>
      <x:c r="F39" s="21" t="str">
        <x:v>api_call</x:v>
      </x:c>
      <x:c r="G39" s="21" t="str">
        <x:v>collect</x:v>
      </x:c>
      <x:c r="H39" s="21" t="str">
        <x:v>调用 PaddleOCR-VL-1.6 工具；不能把 OCR 结果当作已提交申请。</x:v>
      </x:c>
      <x:c r="I39" s="21" t="str">
        <x:v>否</x:v>
      </x:c>
      <x:c r="J39" s="21" t="str">
        <x:v>34a89aa7b43b473d8326cf6540fc3894</x:v>
      </x:c>
      <x:c r="K39" s="21" t="str"/>
      <x:c r="L39" s="22" t="n">
        <x:v>0</x:v>
      </x:c>
      <x:c r="M39" s="22" t="n">
        <x:v>32</x:v>
      </x:c>
      <x:c r="N39" s="21" t="str"/>
      <x:c r="O39" s="21" t="str">
        <x:v>是</x:v>
      </x:c>
      <x:c r="P39" s="21" t="str">
        <x:v>document_ocr</x:v>
      </x:c>
      <x:c r="Q39" s="21" t="str">
        <x:v>否</x:v>
      </x:c>
      <x:c r="R39" s="21" t="str">
        <x:v>是</x:v>
      </x:c>
      <x:c r="S39" s="22" t="n">
        <x:v>5</x:v>
      </x:c>
      <x:c r="T39" s="22" t="n">
        <x:v>2559</x:v>
      </x:c>
      <x:c r="U39" s="21" t="str">
        <x:v>لم أستلم أي ملف مرفق في رسالتك. لا يمكنني قراءة الرخصة التجارية أو استخراج الحقول دون الملف.
**المطلوب:**
- `file`: ملف الرخصة التجارية (PDF أو صورة واضحة)
- `file_type`: نوع الملف (PDF / PNG / JPG)
يرجى إرفاق الملف وسأقوم باستخراج الحقول المطلوبة لطلب الإعلام وتحديدها.</x:v>
      </x:c>
      <x:c r="V39" s="21" t="str">
        <x:v>流程收集或确认；未执行写入动作</x:v>
      </x:c>
    </x:row>
  </x:sheetData>
  <x:conditionalFormatting sqref="S2:S39">
    <x:cfRule type="colorScale" priority="1">
      <x:colorScale>
        <x:cfvo type="min"/>
        <x:cfvo type="percentile" val="50"/>
        <x:cfvo type="max"/>
        <x:color rgb="FFF8696B"/>
        <x:color rgb="FFFFEB84"/>
        <x:color rgb="FF63BE7B"/>
      </x:colorScale>
    </x:cfRule>
  </x:conditionalFormatting>
  <x:conditionalFormatting sqref="O2:O39">
    <x:cfRule type="containsText" dxfId="0" priority="2" operator="containsText" text="否"/>
  </x:conditionalFormatting>
  <x:conditionalFormatting sqref="Q2:Q39">
    <x:cfRule type="containsText" dxfId="1" priority="3" operator="containsText" text="是"/>
  </x:conditionalFormatting>
  <x:pageMargins left="0.7" right="0.7" top="0.75" bottom="0.75" header="0.3" footer="0.3"/>
  <x:tableParts count="1">
    <x:tablePart xmlns:r="http://schemas.openxmlformats.org/officeDocument/2006/relationships" r:id="Rd87cc38c907841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50" hidden="0" customWidth="1"/>
    <x:col min="8" max="8" width="20" hidden="0" customWidth="1"/>
    <x:col min="9" max="9" width="14" hidden="0" customWidth="1"/>
  </x:cols>
  <x:sheetData>
    <x:row r="1" ht="30" customHeight="1">
      <x:c r="A1" s="4" t="str">
        <x:v>业务覆盖矩阵 · English / العربية</x:v>
      </x:c>
      <x:c r="B1" s="4" t="str">
        <x:v>业务覆盖矩阵 · English / العربية</x:v>
      </x:c>
      <x:c r="C1" s="4" t="str">
        <x:v>业务覆盖矩阵 · English / العربية</x:v>
      </x:c>
      <x:c r="D1" s="4" t="str">
        <x:v>业务覆盖矩阵 · English / العربية</x:v>
      </x:c>
      <x:c r="E1" s="4" t="str">
        <x:v>业务覆盖矩阵 · English / العربية</x:v>
      </x:c>
      <x:c r="F1" s="4" t="str">
        <x:v>业务覆盖矩阵 · English / العربية</x:v>
      </x:c>
      <x:c r="G1" s="4" t="str">
        <x:v>业务覆盖矩阵 · English / العربية</x:v>
      </x:c>
      <x:c r="H1" s="4" t="str">
        <x:v>业务覆盖矩阵 · English / العربية</x:v>
      </x:c>
      <x:c r="I1" s="4" t="str">
        <x:v>业务覆盖矩阵 · English / العربية</x:v>
      </x:c>
    </x:row>
    <x:row r="3" ht="30" customHeight="1">
      <x:c r="A3" s="12" t="str">
        <x:v>业务域</x:v>
      </x:c>
      <x:c r="B3" s="12" t="str">
        <x:v>English 用例</x:v>
      </x:c>
      <x:c r="C3" s="12" t="str">
        <x:v>Arabic 用例</x:v>
      </x:c>
      <x:c r="D3" s="12" t="str">
        <x:v>路由匹配</x:v>
      </x:c>
      <x:c r="E3" s="12" t="str">
        <x:v>平均评分</x:v>
      </x:c>
      <x:c r="F3" s="12" t="str">
        <x:v>知识证据</x:v>
      </x:c>
      <x:c r="G3" s="12" t="str">
        <x:v>来源样例</x:v>
      </x:c>
      <x:c r="H3" s="12" t="str">
        <x:v>覆盖目标</x:v>
      </x:c>
      <x:c r="I3" s="12" t="str">
        <x:v>结论</x:v>
      </x:c>
    </x:row>
    <x:row r="4" ht="30" customHeight="1">
      <x:c r="A4" s="21" t="str">
        <x:v>法规摘要</x:v>
      </x:c>
      <x:c r="B4" s="21" t="n">
        <x:f>COUNTIFS('多语言用例'!$C$2:$C$39,$A4,'多语言用例'!$B$2:$B$39,"en")</x:f>
        <x:v>1</x:v>
      </x:c>
      <x:c r="C4" s="21" t="n">
        <x:f>COUNTIFS('多语言用例'!$C$2:$C$39,$A4,'多语言用例'!$B$2:$B$39,"ar")</x:f>
        <x:v>1</x:v>
      </x:c>
      <x:c r="D4" s="21" t="str">
        <x:f>COUNTIFS('多语言用例'!$C$2:$C$39,$A4,'多语言用例'!$O$2:$O$39,"是")&amp;"/"&amp;COUNTIF('多语言用例'!$C$2:$C$39,$A4)</x:f>
        <x:v>2/2</x:v>
      </x:c>
      <x:c r="E4" s="23" t="n">
        <x:f>AVERAGEIF('多语言用例'!$C$2:$C$39,$A4,'多语言用例'!$S$2:$S$39)</x:f>
        <x:v>5</x:v>
      </x:c>
      <x:c r="F4" s="21" t="n">
        <x:f>COUNTIFS('多语言用例'!$C$2:$C$39,$A4,'多语言用例'!$I$2:$I$39,"是",'多语言用例'!$L$2:$L$39,"&gt;0")</x:f>
        <x:v>2</x:v>
      </x:c>
      <x:c r="G4" s="21" t="str">
        <x:v>02_FDL_55_2023_Regulating_Media.pdf</x:v>
      </x:c>
      <x:c r="H4" s="32" t="str">
        <x:v>English + العربية</x:v>
      </x:c>
      <x:c r="I4" s="21" t="str">
        <x:f>IF(AND(B4&gt;0,C4&gt;0,D4=B4+C4,E4&gt;=4),"通过","需关注")</x:f>
        <x:v>需关注</x:v>
      </x:c>
    </x:row>
    <x:row r="5" ht="30" customHeight="1">
      <x:c r="A5" s="21" t="str">
        <x:v>法规逐字引用安全门禁</x:v>
      </x:c>
      <x:c r="B5" s="21" t="n">
        <x:f>COUNTIFS('多语言用例'!$C$2:$C$39,$A5,'多语言用例'!$B$2:$B$39,"en")</x:f>
        <x:v>1</x:v>
      </x:c>
      <x:c r="C5" s="21" t="n">
        <x:f>COUNTIFS('多语言用例'!$C$2:$C$39,$A5,'多语言用例'!$B$2:$B$39,"ar")</x:f>
        <x:v>1</x:v>
      </x:c>
      <x:c r="D5" s="21" t="str">
        <x:f>COUNTIFS('多语言用例'!$C$2:$C$39,$A5,'多语言用例'!$O$2:$O$39,"是")&amp;"/"&amp;COUNTIF('多语言用例'!$C$2:$C$39,$A5)</x:f>
        <x:v>2/2</x:v>
      </x:c>
      <x:c r="E5" s="23" t="n">
        <x:f>AVERAGEIF('多语言用例'!$C$2:$C$39,$A5,'多语言用例'!$S$2:$S$39)</x:f>
        <x:v>5</x:v>
      </x:c>
      <x:c r="F5" s="21" t="n">
        <x:f>COUNTIFS('多语言用例'!$C$2:$C$39,$A5,'多语言用例'!$I$2:$I$39,"是",'多语言用例'!$L$2:$L$39,"&gt;0")</x:f>
        <x:v>2</x:v>
      </x:c>
      <x:c r="G5" s="21" t="str">
        <x:v>13_Cabinet_47_2022_Copyright_Executive_Regulation.pdf</x:v>
      </x:c>
      <x:c r="H5" s="32" t="str">
        <x:v>English + العربية</x:v>
      </x:c>
      <x:c r="I5" s="21" t="str">
        <x:f>IF(AND(B5&gt;0,C5&gt;0,D5=B5+C5,E5&gt;=4),"通过","需关注")</x:f>
        <x:v>需关注</x:v>
      </x:c>
    </x:row>
    <x:row r="6" ht="30" customHeight="1">
      <x:c r="A6" s="21" t="str">
        <x:v>摄影许可申请</x:v>
      </x:c>
      <x:c r="B6" s="21" t="n">
        <x:f>COUNTIFS('多语言用例'!$C$2:$C$39,$A6,'多语言用例'!$B$2:$B$39,"en")</x:f>
        <x:v>1</x:v>
      </x:c>
      <x:c r="C6" s="21" t="n">
        <x:f>COUNTIFS('多语言用例'!$C$2:$C$39,$A6,'多语言用例'!$B$2:$B$39,"ar")</x:f>
        <x:v>1</x:v>
      </x:c>
      <x:c r="D6" s="21" t="str">
        <x:f>COUNTIFS('多语言用例'!$C$2:$C$39,$A6,'多语言用例'!$O$2:$O$39,"是")&amp;"/"&amp;COUNTIF('多语言用例'!$C$2:$C$39,$A6)</x:f>
        <x:v>2/2</x:v>
      </x:c>
      <x:c r="E6" s="23" t="n">
        <x:f>AVERAGEIF('多语言用例'!$C$2:$C$39,$A6,'多语言用例'!$S$2:$S$39)</x:f>
        <x:v>5</x:v>
      </x:c>
      <x:c r="F6" s="21" t="n">
        <x:f>COUNTIFS('多语言用例'!$C$2:$C$39,$A6,'多语言用例'!$I$2:$I$39,"是",'多语言用例'!$L$2:$L$39,"&gt;0")</x:f>
        <x:v>2</x:v>
      </x:c>
      <x:c r="G6" s="21" t="str">
        <x:v>08_NMA_Media_Services_Guide.pdf</x:v>
      </x:c>
      <x:c r="H6" s="32" t="str">
        <x:v>English + العربية</x:v>
      </x:c>
      <x:c r="I6" s="21" t="str">
        <x:f>IF(AND(B6&gt;0,C6&gt;0,D6=B6+C6,E6&gt;=4),"通过","需关注")</x:f>
        <x:v>需关注</x:v>
      </x:c>
    </x:row>
    <x:row r="7" ht="30" customHeight="1">
      <x:c r="A7" s="21" t="str">
        <x:v>报刊出版许可</x:v>
      </x:c>
      <x:c r="B7" s="21" t="n">
        <x:f>COUNTIFS('多语言用例'!$C$2:$C$39,$A7,'多语言用例'!$B$2:$B$39,"en")</x:f>
        <x:v>1</x:v>
      </x:c>
      <x:c r="C7" s="21" t="n">
        <x:f>COUNTIFS('多语言用例'!$C$2:$C$39,$A7,'多语言用例'!$B$2:$B$39,"ar")</x:f>
        <x:v>1</x:v>
      </x:c>
      <x:c r="D7" s="21" t="str">
        <x:f>COUNTIFS('多语言用例'!$C$2:$C$39,$A7,'多语言用例'!$O$2:$O$39,"是")&amp;"/"&amp;COUNTIF('多语言用例'!$C$2:$C$39,$A7)</x:f>
        <x:v>2/2</x:v>
      </x:c>
      <x:c r="E7" s="23" t="n">
        <x:f>AVERAGEIF('多语言用例'!$C$2:$C$39,$A7,'多语言用例'!$S$2:$S$39)</x:f>
        <x:v>5</x:v>
      </x:c>
      <x:c r="F7" s="21" t="n">
        <x:f>COUNTIFS('多语言用例'!$C$2:$C$39,$A7,'多语言用例'!$I$2:$I$39,"是",'多语言用例'!$L$2:$L$39,"&gt;0")</x:f>
        <x:v>2</x:v>
      </x:c>
      <x:c r="G7" s="21" t="str">
        <x:v>29_Cabinet_68_2024_Media_Executive_Regulation_AR.pdf</x:v>
      </x:c>
      <x:c r="H7" s="32" t="str">
        <x:v>English + العربية</x:v>
      </x:c>
      <x:c r="I7" s="21" t="str">
        <x:f>IF(AND(B7&gt;0,C7&gt;0,D7=B7+C7,E7&gt;=4),"通过","需关注")</x:f>
        <x:v>需关注</x:v>
      </x:c>
    </x:row>
    <x:row r="8" ht="30" customHeight="1">
      <x:c r="A8" s="21" t="str">
        <x:v>广播电视许可</x:v>
      </x:c>
      <x:c r="B8" s="21" t="n">
        <x:f>COUNTIFS('多语言用例'!$C$2:$C$39,$A8,'多语言用例'!$B$2:$B$39,"en")</x:f>
        <x:v>1</x:v>
      </x:c>
      <x:c r="C8" s="21" t="n">
        <x:f>COUNTIFS('多语言用例'!$C$2:$C$39,$A8,'多语言用例'!$B$2:$B$39,"ar")</x:f>
        <x:v>1</x:v>
      </x:c>
      <x:c r="D8" s="21" t="str">
        <x:f>COUNTIFS('多语言用例'!$C$2:$C$39,$A8,'多语言用例'!$O$2:$O$39,"是")&amp;"/"&amp;COUNTIF('多语言用例'!$C$2:$C$39,$A8)</x:f>
        <x:v>2/2</x:v>
      </x:c>
      <x:c r="E8" s="23" t="n">
        <x:f>AVERAGEIF('多语言用例'!$C$2:$C$39,$A8,'多语言用例'!$S$2:$S$39)</x:f>
        <x:v>5</x:v>
      </x:c>
      <x:c r="F8" s="21" t="n">
        <x:f>COUNTIFS('多语言用例'!$C$2:$C$39,$A8,'多语言用例'!$I$2:$I$39,"是",'多语言用例'!$L$2:$L$39,"&gt;0")</x:f>
        <x:v>2</x:v>
      </x:c>
      <x:c r="G8" s="21" t="str">
        <x:v>03_Cabinet_68_2024_Media_Executive_Regulation.pdf</x:v>
      </x:c>
      <x:c r="H8" s="32" t="str">
        <x:v>English + العربية</x:v>
      </x:c>
      <x:c r="I8" s="21" t="str">
        <x:f>IF(AND(B8&gt;0,C8&gt;0,D8=B8+C8,E8&gt;=4),"通过","需关注")</x:f>
        <x:v>需关注</x:v>
      </x:c>
    </x:row>
    <x:row r="9" ht="30" customHeight="1">
      <x:c r="A9" s="21" t="str">
        <x:v>服务资格说明</x:v>
      </x:c>
      <x:c r="B9" s="21" t="n">
        <x:f>COUNTIFS('多语言用例'!$C$2:$C$39,$A9,'多语言用例'!$B$2:$B$39,"en")</x:f>
        <x:v>1</x:v>
      </x:c>
      <x:c r="C9" s="21" t="n">
        <x:f>COUNTIFS('多语言用例'!$C$2:$C$39,$A9,'多语言用例'!$B$2:$B$39,"ar")</x:f>
        <x:v>1</x:v>
      </x:c>
      <x:c r="D9" s="21" t="str">
        <x:f>COUNTIFS('多语言用例'!$C$2:$C$39,$A9,'多语言用例'!$O$2:$O$39,"是")&amp;"/"&amp;COUNTIF('多语言用例'!$C$2:$C$39,$A9)</x:f>
        <x:v>2/2</x:v>
      </x:c>
      <x:c r="E9" s="23" t="n">
        <x:f>AVERAGEIF('多语言用例'!$C$2:$C$39,$A9,'多语言用例'!$S$2:$S$39)</x:f>
        <x:v>5</x:v>
      </x:c>
      <x:c r="F9" s="21" t="n">
        <x:f>COUNTIFS('多语言用例'!$C$2:$C$39,$A9,'多语言用例'!$I$2:$I$39,"是",'多语言用例'!$L$2:$L$39,"&gt;0")</x:f>
        <x:v>2</x:v>
      </x:c>
      <x:c r="G9" s="21" t="str">
        <x:v>e-services-en-services.md</x:v>
      </x:c>
      <x:c r="H9" s="32" t="str">
        <x:v>English + العربية</x:v>
      </x:c>
      <x:c r="I9" s="21" t="str">
        <x:f>IF(AND(B9&gt;0,C9&gt;0,D9=B9+C9,E9&gt;=4),"通过","需关注")</x:f>
        <x:v>需关注</x:v>
      </x:c>
    </x:row>
    <x:row r="10" ht="30" customHeight="1">
      <x:c r="A10" s="21" t="str">
        <x:v>服务费用</x:v>
      </x:c>
      <x:c r="B10" s="21" t="n">
        <x:f>COUNTIFS('多语言用例'!$C$2:$C$39,$A10,'多语言用例'!$B$2:$B$39,"en")</x:f>
        <x:v>1</x:v>
      </x:c>
      <x:c r="C10" s="21" t="n">
        <x:f>COUNTIFS('多语言用例'!$C$2:$C$39,$A10,'多语言用例'!$B$2:$B$39,"ar")</x:f>
        <x:v>1</x:v>
      </x:c>
      <x:c r="D10" s="21" t="str">
        <x:f>COUNTIFS('多语言用例'!$C$2:$C$39,$A10,'多语言用例'!$O$2:$O$39,"是")&amp;"/"&amp;COUNTIF('多语言用例'!$C$2:$C$39,$A10)</x:f>
        <x:v>2/2</x:v>
      </x:c>
      <x:c r="E10" s="23" t="n">
        <x:f>AVERAGEIF('多语言用例'!$C$2:$C$39,$A10,'多语言用例'!$S$2:$S$39)</x:f>
        <x:v>5</x:v>
      </x:c>
      <x:c r="F10" s="21" t="n">
        <x:f>COUNTIFS('多语言用例'!$C$2:$C$39,$A10,'多语言用例'!$I$2:$I$39,"是",'多语言用例'!$L$2:$L$39,"&gt;0")</x:f>
        <x:v>2</x:v>
      </x:c>
      <x:c r="G10" s="21" t="str">
        <x:v>UMC Service Fees by-User Type 服务费用及用户类型.md</x:v>
      </x:c>
      <x:c r="H10" s="32" t="str">
        <x:v>English + العربية</x:v>
      </x:c>
      <x:c r="I10" s="21" t="str">
        <x:f>IF(AND(B10&gt;0,C10&gt;0,D10=B10+C10,E10&gt;=4),"通过","需关注")</x:f>
        <x:v>需关注</x:v>
      </x:c>
    </x:row>
    <x:row r="11" ht="30" customHeight="1">
      <x:c r="A11" s="21" t="str">
        <x:v>许可证续期</x:v>
      </x:c>
      <x:c r="B11" s="21" t="n">
        <x:f>COUNTIFS('多语言用例'!$C$2:$C$39,$A11,'多语言用例'!$B$2:$B$39,"en")</x:f>
        <x:v>1</x:v>
      </x:c>
      <x:c r="C11" s="21" t="n">
        <x:f>COUNTIFS('多语言用例'!$C$2:$C$39,$A11,'多语言用例'!$B$2:$B$39,"ar")</x:f>
        <x:v>1</x:v>
      </x:c>
      <x:c r="D11" s="21" t="str">
        <x:f>COUNTIFS('多语言用例'!$C$2:$C$39,$A11,'多语言用例'!$O$2:$O$39,"是")&amp;"/"&amp;COUNTIF('多语言用例'!$C$2:$C$39,$A11)</x:f>
        <x:v>2/2</x:v>
      </x:c>
      <x:c r="E11" s="23" t="n">
        <x:f>AVERAGEIF('多语言用例'!$C$2:$C$39,$A11,'多语言用例'!$S$2:$S$39)</x:f>
        <x:v>5</x:v>
      </x:c>
      <x:c r="F11" s="21" t="n">
        <x:f>COUNTIFS('多语言用例'!$C$2:$C$39,$A11,'多语言用例'!$I$2:$I$39,"是",'多语言用例'!$L$2:$L$39,"&gt;0")</x:f>
        <x:v>2</x:v>
      </x:c>
      <x:c r="G11" s="21" t="str">
        <x:v>03_Cabinet_68_2024_Media_Executive_Regulation.pdf</x:v>
      </x:c>
      <x:c r="H11" s="32" t="str">
        <x:v>English + العربية</x:v>
      </x:c>
      <x:c r="I11" s="21" t="str">
        <x:f>IF(AND(B11&gt;0,C11&gt;0,D11=B11+C11,E11&gt;=4),"通过","需关注")</x:f>
        <x:v>需关注</x:v>
      </x:c>
    </x:row>
    <x:row r="12" ht="30" customHeight="1">
      <x:c r="A12" s="21" t="str">
        <x:v>申请状态查询</x:v>
      </x:c>
      <x:c r="B12" s="21" t="n">
        <x:f>COUNTIFS('多语言用例'!$C$2:$C$39,$A12,'多语言用例'!$B$2:$B$39,"en")</x:f>
        <x:v>1</x:v>
      </x:c>
      <x:c r="C12" s="21" t="n">
        <x:f>COUNTIFS('多语言用例'!$C$2:$C$39,$A12,'多语言用例'!$B$2:$B$39,"ar")</x:f>
        <x:v>1</x:v>
      </x:c>
      <x:c r="D12" s="21" t="str">
        <x:f>COUNTIFS('多语言用例'!$C$2:$C$39,$A12,'多语言用例'!$O$2:$O$39,"是")&amp;"/"&amp;COUNTIF('多语言用例'!$C$2:$C$39,$A12)</x:f>
        <x:v>2/2</x:v>
      </x:c>
      <x:c r="E12" s="23" t="n">
        <x:f>AVERAGEIF('多语言用例'!$C$2:$C$39,$A12,'多语言用例'!$S$2:$S$39)</x:f>
        <x:v>5</x:v>
      </x:c>
      <x:c r="F12" s="21" t="n">
        <x:f>COUNTIFS('多语言用例'!$C$2:$C$39,$A12,'多语言用例'!$I$2:$I$39,"是",'多语言用例'!$L$2:$L$39,"&gt;0")</x:f>
        <x:v>0</x:v>
      </x:c>
      <x:c r="G12" s="21" t="str">
        <x:v>流程 Skill / 平台 Tool</x:v>
      </x:c>
      <x:c r="H12" s="32" t="str">
        <x:v>English + العربية</x:v>
      </x:c>
      <x:c r="I12" s="21" t="str">
        <x:f>IF(AND(B12&gt;0,C12&gt;0,D12=B12+C12,E12&gt;=4),"通过","需关注")</x:f>
        <x:v>需关注</x:v>
      </x:c>
    </x:row>
    <x:row r="13" ht="30" customHeight="1">
      <x:c r="A13" s="21" t="str">
        <x:v>待付款申请</x:v>
      </x:c>
      <x:c r="B13" s="21" t="n">
        <x:f>COUNTIFS('多语言用例'!$C$2:$C$39,$A13,'多语言用例'!$B$2:$B$39,"en")</x:f>
        <x:v>1</x:v>
      </x:c>
      <x:c r="C13" s="21" t="n">
        <x:f>COUNTIFS('多语言用例'!$C$2:$C$39,$A13,'多语言用例'!$B$2:$B$39,"ar")</x:f>
        <x:v>1</x:v>
      </x:c>
      <x:c r="D13" s="21" t="str">
        <x:f>COUNTIFS('多语言用例'!$C$2:$C$39,$A13,'多语言用例'!$O$2:$O$39,"是")&amp;"/"&amp;COUNTIF('多语言用例'!$C$2:$C$39,$A13)</x:f>
        <x:v>2/2</x:v>
      </x:c>
      <x:c r="E13" s="23" t="n">
        <x:f>AVERAGEIF('多语言用例'!$C$2:$C$39,$A13,'多语言用例'!$S$2:$S$39)</x:f>
        <x:v>5</x:v>
      </x:c>
      <x:c r="F13" s="21" t="n">
        <x:f>COUNTIFS('多语言用例'!$C$2:$C$39,$A13,'多语言用例'!$I$2:$I$39,"是",'多语言用例'!$L$2:$L$39,"&gt;0")</x:f>
        <x:v>0</x:v>
      </x:c>
      <x:c r="G13" s="21" t="str">
        <x:v>流程 Skill / 平台 Tool</x:v>
      </x:c>
      <x:c r="H13" s="32" t="str">
        <x:v>English + العربية</x:v>
      </x:c>
      <x:c r="I13" s="21" t="str">
        <x:f>IF(AND(B13&gt;0,C13&gt;0,D13=B13+C13,E13&gt;=4),"通过","需关注")</x:f>
        <x:v>需关注</x:v>
      </x:c>
    </x:row>
    <x:row r="14" ht="30" customHeight="1">
      <x:c r="A14" s="21" t="str">
        <x:v>已签发许可证下载</x:v>
      </x:c>
      <x:c r="B14" s="21" t="n">
        <x:f>COUNTIFS('多语言用例'!$C$2:$C$39,$A14,'多语言用例'!$B$2:$B$39,"en")</x:f>
        <x:v>1</x:v>
      </x:c>
      <x:c r="C14" s="21" t="n">
        <x:f>COUNTIFS('多语言用例'!$C$2:$C$39,$A14,'多语言用例'!$B$2:$B$39,"ar")</x:f>
        <x:v>1</x:v>
      </x:c>
      <x:c r="D14" s="21" t="str">
        <x:f>COUNTIFS('多语言用例'!$C$2:$C$39,$A14,'多语言用例'!$O$2:$O$39,"是")&amp;"/"&amp;COUNTIF('多语言用例'!$C$2:$C$39,$A14)</x:f>
        <x:v>2/2</x:v>
      </x:c>
      <x:c r="E14" s="23" t="n">
        <x:f>AVERAGEIF('多语言用例'!$C$2:$C$39,$A14,'多语言用例'!$S$2:$S$39)</x:f>
        <x:v>5</x:v>
      </x:c>
      <x:c r="F14" s="21" t="n">
        <x:f>COUNTIFS('多语言用例'!$C$2:$C$39,$A14,'多语言用例'!$I$2:$I$39,"是",'多语言用例'!$L$2:$L$39,"&gt;0")</x:f>
        <x:v>0</x:v>
      </x:c>
      <x:c r="G14" s="21" t="str">
        <x:v>流程 Skill / 平台 Tool</x:v>
      </x:c>
      <x:c r="H14" s="32" t="str">
        <x:v>English + العربية</x:v>
      </x:c>
      <x:c r="I14" s="21" t="str">
        <x:f>IF(AND(B14&gt;0,C14&gt;0,D14=B14+C14,E14&gt;=4),"通过","需关注")</x:f>
        <x:v>需关注</x:v>
      </x:c>
    </x:row>
    <x:row r="15" ht="30" customHeight="1">
      <x:c r="A15" s="21" t="str">
        <x:v>付款收据</x:v>
      </x:c>
      <x:c r="B15" s="21" t="n">
        <x:f>COUNTIFS('多语言用例'!$C$2:$C$39,$A15,'多语言用例'!$B$2:$B$39,"en")</x:f>
        <x:v>1</x:v>
      </x:c>
      <x:c r="C15" s="21" t="n">
        <x:f>COUNTIFS('多语言用例'!$C$2:$C$39,$A15,'多语言用例'!$B$2:$B$39,"ar")</x:f>
        <x:v>1</x:v>
      </x:c>
      <x:c r="D15" s="21" t="str">
        <x:f>COUNTIFS('多语言用例'!$C$2:$C$39,$A15,'多语言用例'!$O$2:$O$39,"是")&amp;"/"&amp;COUNTIF('多语言用例'!$C$2:$C$39,$A15)</x:f>
        <x:v>2/2</x:v>
      </x:c>
      <x:c r="E15" s="23" t="n">
        <x:f>AVERAGEIF('多语言用例'!$C$2:$C$39,$A15,'多语言用例'!$S$2:$S$39)</x:f>
        <x:v>5</x:v>
      </x:c>
      <x:c r="F15" s="21" t="n">
        <x:f>COUNTIFS('多语言用例'!$C$2:$C$39,$A15,'多语言用例'!$I$2:$I$39,"是",'多语言用例'!$L$2:$L$39,"&gt;0")</x:f>
        <x:v>0</x:v>
      </x:c>
      <x:c r="G15" s="21" t="str">
        <x:v>流程 Skill / 平台 Tool</x:v>
      </x:c>
      <x:c r="H15" s="32" t="str">
        <x:v>English + العربية</x:v>
      </x:c>
      <x:c r="I15" s="21" t="str">
        <x:f>IF(AND(B15&gt;0,C15&gt;0,D15=B15+C15,E15&gt;=4),"通过","需关注")</x:f>
        <x:v>需关注</x:v>
      </x:c>
    </x:row>
    <x:row r="16" ht="30" customHeight="1">
      <x:c r="A16" s="21" t="str">
        <x:v>违规罚款支付</x:v>
      </x:c>
      <x:c r="B16" s="21" t="n">
        <x:f>COUNTIFS('多语言用例'!$C$2:$C$39,$A16,'多语言用例'!$B$2:$B$39,"en")</x:f>
        <x:v>1</x:v>
      </x:c>
      <x:c r="C16" s="21" t="n">
        <x:f>COUNTIFS('多语言用例'!$C$2:$C$39,$A16,'多语言用例'!$B$2:$B$39,"ar")</x:f>
        <x:v>1</x:v>
      </x:c>
      <x:c r="D16" s="21" t="str">
        <x:f>COUNTIFS('多语言用例'!$C$2:$C$39,$A16,'多语言用例'!$O$2:$O$39,"是")&amp;"/"&amp;COUNTIF('多语言用例'!$C$2:$C$39,$A16)</x:f>
        <x:v>2/2</x:v>
      </x:c>
      <x:c r="E16" s="23" t="n">
        <x:f>AVERAGEIF('多语言用例'!$C$2:$C$39,$A16,'多语言用例'!$S$2:$S$39)</x:f>
        <x:v>4</x:v>
      </x:c>
      <x:c r="F16" s="21" t="n">
        <x:f>COUNTIFS('多语言用例'!$C$2:$C$39,$A16,'多语言用例'!$I$2:$I$39,"是",'多语言用例'!$L$2:$L$39,"&gt;0")</x:f>
        <x:v>2</x:v>
      </x:c>
      <x:c r="G16" s="21" t="str">
        <x:v>Violations &amp; Fines 批量支付罚款需求说明.md</x:v>
      </x:c>
      <x:c r="H16" s="32" t="str">
        <x:v>English + العربية</x:v>
      </x:c>
      <x:c r="I16" s="21" t="str">
        <x:f>IF(AND(B16&gt;0,C16&gt;0,D16=B16+C16,E16&gt;=4),"通过","需关注")</x:f>
        <x:v>需关注</x:v>
      </x:c>
    </x:row>
    <x:row r="17" ht="30" customHeight="1">
      <x:c r="A17" s="21" t="str">
        <x:v>罚款申诉</x:v>
      </x:c>
      <x:c r="B17" s="21" t="n">
        <x:f>COUNTIFS('多语言用例'!$C$2:$C$39,$A17,'多语言用例'!$B$2:$B$39,"en")</x:f>
        <x:v>1</x:v>
      </x:c>
      <x:c r="C17" s="21" t="n">
        <x:f>COUNTIFS('多语言用例'!$C$2:$C$39,$A17,'多语言用例'!$B$2:$B$39,"ar")</x:f>
        <x:v>1</x:v>
      </x:c>
      <x:c r="D17" s="21" t="str">
        <x:f>COUNTIFS('多语言用例'!$C$2:$C$39,$A17,'多语言用例'!$O$2:$O$39,"是")&amp;"/"&amp;COUNTIF('多语言用例'!$C$2:$C$39,$A17)</x:f>
        <x:v>2/2</x:v>
      </x:c>
      <x:c r="E17" s="23" t="n">
        <x:f>AVERAGEIF('多语言用例'!$C$2:$C$39,$A17,'多语言用例'!$S$2:$S$39)</x:f>
        <x:v>5</x:v>
      </x:c>
      <x:c r="F17" s="21" t="n">
        <x:f>COUNTIFS('多语言用例'!$C$2:$C$39,$A17,'多语言用例'!$I$2:$I$39,"是",'多语言用例'!$L$2:$L$39,"&gt;0")</x:f>
        <x:v>0</x:v>
      </x:c>
      <x:c r="G17" s="21" t="str">
        <x:v>流程 Skill / 平台 Tool</x:v>
      </x:c>
      <x:c r="H17" s="32" t="str">
        <x:v>English + العربية</x:v>
      </x:c>
      <x:c r="I17" s="21" t="str">
        <x:f>IF(AND(B17&gt;0,C17&gt;0,D17=B17+C17,E17&gt;=4),"通过","需关注")</x:f>
        <x:v>需关注</x:v>
      </x:c>
    </x:row>
    <x:row r="18" ht="30" customHeight="1">
      <x:c r="A18" s="21" t="str">
        <x:v>延迟申请投诉</x:v>
      </x:c>
      <x:c r="B18" s="21" t="n">
        <x:f>COUNTIFS('多语言用例'!$C$2:$C$39,$A18,'多语言用例'!$B$2:$B$39,"en")</x:f>
        <x:v>1</x:v>
      </x:c>
      <x:c r="C18" s="21" t="n">
        <x:f>COUNTIFS('多语言用例'!$C$2:$C$39,$A18,'多语言用例'!$B$2:$B$39,"ar")</x:f>
        <x:v>1</x:v>
      </x:c>
      <x:c r="D18" s="21" t="str">
        <x:f>COUNTIFS('多语言用例'!$C$2:$C$39,$A18,'多语言用例'!$O$2:$O$39,"是")&amp;"/"&amp;COUNTIF('多语言用例'!$C$2:$C$39,$A18)</x:f>
        <x:v>2/2</x:v>
      </x:c>
      <x:c r="E18" s="23" t="n">
        <x:f>AVERAGEIF('多语言用例'!$C$2:$C$39,$A18,'多语言用例'!$S$2:$S$39)</x:f>
        <x:v>5</x:v>
      </x:c>
      <x:c r="F18" s="21" t="n">
        <x:f>COUNTIFS('多语言用例'!$C$2:$C$39,$A18,'多语言用例'!$I$2:$I$39,"是",'多语言用例'!$L$2:$L$39,"&gt;0")</x:f>
        <x:v>0</x:v>
      </x:c>
      <x:c r="G18" s="21" t="str">
        <x:v>流程 Skill / 平台 Tool</x:v>
      </x:c>
      <x:c r="H18" s="32" t="str">
        <x:v>English + العربية</x:v>
      </x:c>
      <x:c r="I18" s="21" t="str">
        <x:f>IF(AND(B18&gt;0,C18&gt;0,D18=B18+C18,E18&gt;=4),"通过","需关注")</x:f>
        <x:v>需关注</x:v>
      </x:c>
    </x:row>
    <x:row r="19" ht="30" customHeight="1">
      <x:c r="A19" s="21" t="str">
        <x:v>咨询跟进</x:v>
      </x:c>
      <x:c r="B19" s="21" t="n">
        <x:f>COUNTIFS('多语言用例'!$C$2:$C$39,$A19,'多语言用例'!$B$2:$B$39,"en")</x:f>
        <x:v>1</x:v>
      </x:c>
      <x:c r="C19" s="21" t="n">
        <x:f>COUNTIFS('多语言用例'!$C$2:$C$39,$A19,'多语言用例'!$B$2:$B$39,"ar")</x:f>
        <x:v>1</x:v>
      </x:c>
      <x:c r="D19" s="21" t="str">
        <x:f>COUNTIFS('多语言用例'!$C$2:$C$39,$A19,'多语言用例'!$O$2:$O$39,"是")&amp;"/"&amp;COUNTIF('多语言用例'!$C$2:$C$39,$A19)</x:f>
        <x:v>2/2</x:v>
      </x:c>
      <x:c r="E19" s="23" t="n">
        <x:f>AVERAGEIF('多语言用例'!$C$2:$C$39,$A19,'多语言用例'!$S$2:$S$39)</x:f>
        <x:v>5</x:v>
      </x:c>
      <x:c r="F19" s="21" t="n">
        <x:f>COUNTIFS('多语言用例'!$C$2:$C$39,$A19,'多语言用例'!$I$2:$I$39,"是",'多语言用例'!$L$2:$L$39,"&gt;0")</x:f>
        <x:v>0</x:v>
      </x:c>
      <x:c r="G19" s="21" t="str">
        <x:v>流程 Skill / 平台 Tool</x:v>
      </x:c>
      <x:c r="H19" s="32" t="str">
        <x:v>English + العربية</x:v>
      </x:c>
      <x:c r="I19" s="21" t="str">
        <x:f>IF(AND(B19&gt;0,C19&gt;0,D19=B19+C19,E19&gt;=4),"通过","需关注")</x:f>
        <x:v>需关注</x:v>
      </x:c>
    </x:row>
    <x:row r="20" ht="30" customHeight="1">
      <x:c r="A20" s="21" t="str">
        <x:v>支付技术咨询</x:v>
      </x:c>
      <x:c r="B20" s="21" t="n">
        <x:f>COUNTIFS('多语言用例'!$C$2:$C$39,$A20,'多语言用例'!$B$2:$B$39,"en")</x:f>
        <x:v>1</x:v>
      </x:c>
      <x:c r="C20" s="21" t="n">
        <x:f>COUNTIFS('多语言用例'!$C$2:$C$39,$A20,'多语言用例'!$B$2:$B$39,"ar")</x:f>
        <x:v>1</x:v>
      </x:c>
      <x:c r="D20" s="21" t="str">
        <x:f>COUNTIFS('多语言用例'!$C$2:$C$39,$A20,'多语言用例'!$O$2:$O$39,"是")&amp;"/"&amp;COUNTIF('多语言用例'!$C$2:$C$39,$A20)</x:f>
        <x:v>2/2</x:v>
      </x:c>
      <x:c r="E20" s="23" t="n">
        <x:f>AVERAGEIF('多语言用例'!$C$2:$C$39,$A20,'多语言用例'!$S$2:$S$39)</x:f>
        <x:v>5</x:v>
      </x:c>
      <x:c r="F20" s="21" t="n">
        <x:f>COUNTIFS('多语言用例'!$C$2:$C$39,$A20,'多语言用例'!$I$2:$I$39,"是",'多语言用例'!$L$2:$L$39,"&gt;0")</x:f>
        <x:v>0</x:v>
      </x:c>
      <x:c r="G20" s="21" t="str">
        <x:v>流程 Skill / 平台 Tool</x:v>
      </x:c>
      <x:c r="H20" s="32" t="str">
        <x:v>English + العربية</x:v>
      </x:c>
      <x:c r="I20" s="21" t="str">
        <x:f>IF(AND(B20&gt;0,C20&gt;0,D20=B20+C20,E20&gt;=4),"通过","需关注")</x:f>
        <x:v>需关注</x:v>
      </x:c>
    </x:row>
    <x:row r="21" ht="30" customHeight="1">
      <x:c r="A21" s="21" t="str">
        <x:v>Profile 审核状态</x:v>
      </x:c>
      <x:c r="B21" s="21" t="n">
        <x:f>COUNTIFS('多语言用例'!$C$2:$C$39,$A21,'多语言用例'!$B$2:$B$39,"en")</x:f>
        <x:v>1</x:v>
      </x:c>
      <x:c r="C21" s="21" t="n">
        <x:f>COUNTIFS('多语言用例'!$C$2:$C$39,$A21,'多语言用例'!$B$2:$B$39,"ar")</x:f>
        <x:v>1</x:v>
      </x:c>
      <x:c r="D21" s="21" t="str">
        <x:f>COUNTIFS('多语言用例'!$C$2:$C$39,$A21,'多语言用例'!$O$2:$O$39,"是")&amp;"/"&amp;COUNTIF('多语言用例'!$C$2:$C$39,$A21)</x:f>
        <x:v>2/2</x:v>
      </x:c>
      <x:c r="E21" s="23" t="n">
        <x:f>AVERAGEIF('多语言用例'!$C$2:$C$39,$A21,'多语言用例'!$S$2:$S$39)</x:f>
        <x:v>5</x:v>
      </x:c>
      <x:c r="F21" s="21" t="n">
        <x:f>COUNTIFS('多语言用例'!$C$2:$C$39,$A21,'多语言用例'!$I$2:$I$39,"是",'多语言用例'!$L$2:$L$39,"&gt;0")</x:f>
        <x:v>0</x:v>
      </x:c>
      <x:c r="G21" s="21" t="str">
        <x:v>流程 Skill / 平台 Tool</x:v>
      </x:c>
      <x:c r="H21" s="32" t="str">
        <x:v>English + العربية</x:v>
      </x:c>
      <x:c r="I21" s="21" t="str">
        <x:f>IF(AND(B21&gt;0,C21&gt;0,D21=B21+C21,E21&gt;=4),"通过","需关注")</x:f>
        <x:v>需关注</x:v>
      </x:c>
    </x:row>
    <x:row r="22" ht="30" customHeight="1">
      <x:c r="A22" s="21" t="str">
        <x:v>OCR 材料识别</x:v>
      </x:c>
      <x:c r="B22" s="21" t="n">
        <x:f>COUNTIFS('多语言用例'!$C$2:$C$39,$A22,'多语言用例'!$B$2:$B$39,"en")</x:f>
        <x:v>1</x:v>
      </x:c>
      <x:c r="C22" s="21" t="n">
        <x:f>COUNTIFS('多语言用例'!$C$2:$C$39,$A22,'多语言用例'!$B$2:$B$39,"ar")</x:f>
        <x:v>1</x:v>
      </x:c>
      <x:c r="D22" s="21" t="str">
        <x:f>COUNTIFS('多语言用例'!$C$2:$C$39,$A22,'多语言用例'!$O$2:$O$39,"是")&amp;"/"&amp;COUNTIF('多语言用例'!$C$2:$C$39,$A22)</x:f>
        <x:v>2/2</x:v>
      </x:c>
      <x:c r="E22" s="23" t="n">
        <x:f>AVERAGEIF('多语言用例'!$C$2:$C$39,$A22,'多语言用例'!$S$2:$S$39)</x:f>
        <x:v>5</x:v>
      </x:c>
      <x:c r="F22" s="21" t="n">
        <x:f>COUNTIFS('多语言用例'!$C$2:$C$39,$A22,'多语言用例'!$I$2:$I$39,"是",'多语言用例'!$L$2:$L$39,"&gt;0")</x:f>
        <x:v>0</x:v>
      </x:c>
      <x:c r="G22" s="21" t="str">
        <x:v>流程 Skill / 平台 Tool</x:v>
      </x:c>
      <x:c r="H22" s="32" t="str">
        <x:v>English + العربية</x:v>
      </x:c>
      <x:c r="I22" s="21" t="str">
        <x:f>IF(AND(B22&gt;0,C22&gt;0,D22=B22+C22,E22&gt;=4),"通过","需关注")</x:f>
        <x:v>需关注</x:v>
      </x:c>
    </x:row>
  </x:sheetData>
  <x:mergeCells>
    <x:mergeCell ref="A1:I1"/>
  </x:mergeCells>
  <x:conditionalFormatting sqref="I4:I22">
    <x:cfRule type="containsText" dxfId="2" priority="1" operator="containsText" text="通过"/>
    <x:cfRule type="containsText" dxfId="3" priority="2" operator="containsText" text="需关注"/>
  </x:conditionalFormatting>
  <x:pageMargins left="0.7" right="0.7" top="0.75" bottom="0.75" header="0.3" footer="0.3"/>
  <x:tableParts count="1">
    <x:tablePart xmlns:r="http://schemas.openxmlformats.org/officeDocument/2006/relationships" r:id="R7accb39987ec467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16" hidden="0" customWidth="1"/>
    <x:col min="5" max="5" width="10" hidden="0" customWidth="1"/>
    <x:col min="6" max="6" width="10" hidden="0" customWidth="1"/>
    <x:col min="7" max="7" width="46" hidden="0" customWidth="1"/>
    <x:col min="8" max="8" width="20" hidden="0" customWidth="1"/>
    <x:col min="9" max="9" width="18" hidden="0" customWidth="1"/>
  </x:cols>
  <x:sheetData>
    <x:row r="1" ht="30" customHeight="1">
      <x:c r="A1" s="4" t="str">
        <x:v>DSH 运行配置快照（敏感值已遮罩）</x:v>
      </x:c>
      <x:c r="B1" s="4" t="str">
        <x:v>DSH 运行配置快照（敏感值已遮罩）</x:v>
      </x:c>
      <x:c r="C1" s="4" t="str">
        <x:v>DSH 运行配置快照（敏感值已遮罩）</x:v>
      </x:c>
      <x:c r="D1" s="4" t="str">
        <x:v>DSH 运行配置快照（敏感值已遮罩）</x:v>
      </x:c>
      <x:c r="E1" s="4" t="str">
        <x:v>DSH 运行配置快照（敏感值已遮罩）</x:v>
      </x:c>
      <x:c r="F1" s="4" t="str">
        <x:v>DSH 运行配置快照（敏感值已遮罩）</x:v>
      </x:c>
      <x:c r="G1" s="4" t="str">
        <x:v>DSH 运行配置快照（敏感值已遮罩）</x:v>
      </x:c>
      <x:c r="H1" s="4" t="str">
        <x:v>DSH 运行配置快照（敏感值已遮罩）</x:v>
      </x:c>
      <x:c r="I1" s="4" t="str">
        <x:v>DSH 运行配置快照（敏感值已遮罩）</x:v>
      </x:c>
    </x:row>
    <x:row r="3" ht="30" customHeight="1">
      <x:c r="A3" s="12" t="str">
        <x:v>Key</x:v>
      </x:c>
      <x:c r="B3" s="12" t="str">
        <x:v>名称</x:v>
      </x:c>
      <x:c r="C3" s="12" t="str">
        <x:v>环境变量</x:v>
      </x:c>
      <x:c r="D3" s="12" t="str">
        <x:v>分组</x:v>
      </x:c>
      <x:c r="E3" s="12" t="str">
        <x:v>敏感</x:v>
      </x:c>
      <x:c r="F3" s="12" t="str">
        <x:v>已配置</x:v>
      </x:c>
      <x:c r="G3" s="12" t="str">
        <x:v>当前值</x:v>
      </x:c>
      <x:c r="H3" s="12" t="str">
        <x:v>来源</x:v>
      </x:c>
      <x:c r="I3" s="12" t="str">
        <x:v>生效方式</x:v>
      </x:c>
    </x:row>
    <x:row r="4" ht="30" customHeight="1">
      <x:c r="A4" s="21" t="str">
        <x:v>llm_base_url</x:v>
      </x:c>
      <x:c r="B4" s="21" t="str">
        <x:v>LLM Base URL</x:v>
      </x:c>
      <x:c r="C4" s="21" t="str">
        <x:v>LLM_BASE_URL</x:v>
      </x:c>
      <x:c r="D4" s="21" t="str">
        <x:v>模型</x:v>
      </x:c>
      <x:c r="E4" s="21" t="str">
        <x:v>否</x:v>
      </x:c>
      <x:c r="F4" s="21" t="str">
        <x:v>是</x:v>
      </x:c>
      <x:c r="G4" s="21" t="str">
        <x:v>https://api.deepseek.com</x:v>
      </x:c>
      <x:c r="H4" s="21" t="str">
        <x:v>database</x:v>
      </x:c>
      <x:c r="I4" s="21" t="str">
        <x:v>后续请求热更新</x:v>
      </x:c>
    </x:row>
    <x:row r="5" ht="30" customHeight="1">
      <x:c r="A5" s="21" t="str">
        <x:v>llm_api_key</x:v>
      </x:c>
      <x:c r="B5" s="21" t="str">
        <x:v>LLM API Key</x:v>
      </x:c>
      <x:c r="C5" s="21" t="str">
        <x:v>LLM_API_KEY</x:v>
      </x:c>
      <x:c r="D5" s="21" t="str">
        <x:v>模型</x:v>
      </x:c>
      <x:c r="E5" s="21" t="str">
        <x:v>是</x:v>
      </x:c>
      <x:c r="F5" s="21" t="str">
        <x:v>是</x:v>
      </x:c>
      <x:c r="G5" s="21" t="str">
        <x:v>••••••••</x:v>
      </x:c>
      <x:c r="H5" s="21" t="str">
        <x:v>environment/default</x:v>
      </x:c>
      <x:c r="I5" s="21" t="str">
        <x:v>后续请求热更新</x:v>
      </x:c>
    </x:row>
    <x:row r="6" ht="30" customHeight="1">
      <x:c r="A6" s="21" t="str">
        <x:v>llm_model</x:v>
      </x:c>
      <x:c r="B6" s="21" t="str">
        <x:v>模型名称</x:v>
      </x:c>
      <x:c r="C6" s="21" t="str">
        <x:v>LLM_MODEL</x:v>
      </x:c>
      <x:c r="D6" s="21" t="str">
        <x:v>模型</x:v>
      </x:c>
      <x:c r="E6" s="21" t="str">
        <x:v>否</x:v>
      </x:c>
      <x:c r="F6" s="21" t="str">
        <x:v>是</x:v>
      </x:c>
      <x:c r="G6" s="21" t="str">
        <x:v>deepseek-v4-flash</x:v>
      </x:c>
      <x:c r="H6" s="21" t="str">
        <x:v>database</x:v>
      </x:c>
      <x:c r="I6" s="21" t="str">
        <x:v>后续请求热更新</x:v>
      </x:c>
    </x:row>
    <x:row r="7" ht="30" customHeight="1">
      <x:c r="A7" s="21" t="str">
        <x:v>llm_timeout_seconds</x:v>
      </x:c>
      <x:c r="B7" s="21" t="str">
        <x:v>LLM 超时（秒）</x:v>
      </x:c>
      <x:c r="C7" s="21" t="str">
        <x:v>LLM_TIMEOUT_SECONDS</x:v>
      </x:c>
      <x:c r="D7" s="21" t="str">
        <x:v>模型</x:v>
      </x:c>
      <x:c r="E7" s="21" t="str">
        <x:v>否</x:v>
      </x:c>
      <x:c r="F7" s="21" t="str">
        <x:v>是</x:v>
      </x:c>
      <x:c r="G7" s="21" t="n">
        <x:v>60</x:v>
      </x:c>
      <x:c r="H7" s="21" t="str">
        <x:v>database</x:v>
      </x:c>
      <x:c r="I7" s="21" t="str">
        <x:v>后续请求热更新</x:v>
      </x:c>
    </x:row>
    <x:row r="8" ht="30" customHeight="1">
      <x:c r="A8" s="21" t="str">
        <x:v>database_url</x:v>
      </x:c>
      <x:c r="B8" s="21" t="str">
        <x:v>Database URL</x:v>
      </x:c>
      <x:c r="C8" s="21" t="str">
        <x:v>DATABASE_URL</x:v>
      </x:c>
      <x:c r="D8" s="21" t="str">
        <x:v>基础设施</x:v>
      </x:c>
      <x:c r="E8" s="21" t="str">
        <x:v>是</x:v>
      </x:c>
      <x:c r="F8" s="21" t="str">
        <x:v>是</x:v>
      </x:c>
      <x:c r="G8" s="21" t="str">
        <x:v>••••••••</x:v>
      </x:c>
      <x:c r="H8" s="21" t="str">
        <x:v>environment/default</x:v>
      </x:c>
      <x:c r="I8" s="21" t="str">
        <x:v>重启 Docker</x:v>
      </x:c>
    </x:row>
    <x:row r="9" ht="30" customHeight="1">
      <x:c r="A9" s="21" t="str">
        <x:v>redis_url</x:v>
      </x:c>
      <x:c r="B9" s="21" t="str">
        <x:v>Redis URL</x:v>
      </x:c>
      <x:c r="C9" s="21" t="str">
        <x:v>REDIS_URL</x:v>
      </x:c>
      <x:c r="D9" s="21" t="str">
        <x:v>基础设施</x:v>
      </x:c>
      <x:c r="E9" s="21" t="str">
        <x:v>是</x:v>
      </x:c>
      <x:c r="F9" s="21" t="str">
        <x:v>是</x:v>
      </x:c>
      <x:c r="G9" s="21" t="str">
        <x:v>••••••••</x:v>
      </x:c>
      <x:c r="H9" s="21" t="str">
        <x:v>environment/default</x:v>
      </x:c>
      <x:c r="I9" s="21" t="str">
        <x:v>重启 Docker</x:v>
      </x:c>
    </x:row>
    <x:row r="10" ht="30" customHeight="1">
      <x:c r="A10" s="21" t="str">
        <x:v>knowledge_gateway_url</x:v>
      </x:c>
      <x:c r="B10" s="21" t="str">
        <x:v>知识库 Tool URL</x:v>
      </x:c>
      <x:c r="C10" s="21" t="str">
        <x:v>KNOWLEDGE_GATEWAY_URL</x:v>
      </x:c>
      <x:c r="D10" s="21" t="str">
        <x:v>外部 Tool</x:v>
      </x:c>
      <x:c r="E10" s="21" t="str">
        <x:v>否</x:v>
      </x:c>
      <x:c r="F10" s="21" t="str">
        <x:v>是</x:v>
      </x:c>
      <x:c r="G10" s="21" t="str">
        <x:v>http://knowledge-gateway:8101</x:v>
      </x:c>
      <x:c r="H10" s="21" t="str">
        <x:v>database</x:v>
      </x:c>
      <x:c r="I10" s="21" t="str">
        <x:v>后续请求热更新</x:v>
      </x:c>
    </x:row>
    <x:row r="11" ht="30" customHeight="1">
      <x:c r="A11" s="21" t="str">
        <x:v>knowledge_api_key</x:v>
      </x:c>
      <x:c r="B11" s="21" t="str">
        <x:v>知识库 API Key</x:v>
      </x:c>
      <x:c r="C11" s="21" t="str">
        <x:v>KNOWLEDGE_API_KEY</x:v>
      </x:c>
      <x:c r="D11" s="21" t="str">
        <x:v>外部 Tool</x:v>
      </x:c>
      <x:c r="E11" s="21" t="str">
        <x:v>是</x:v>
      </x:c>
      <x:c r="F11" s="21" t="str">
        <x:v>否</x:v>
      </x:c>
      <x:c r="G11" s="21" t="str"/>
      <x:c r="H11" s="21" t="str">
        <x:v>environment/default</x:v>
      </x:c>
      <x:c r="I11" s="21" t="str">
        <x:v>后续请求热更新</x:v>
      </x:c>
    </x:row>
    <x:row r="12" ht="30" customHeight="1">
      <x:c r="A12" s="21" t="str">
        <x:v>knowledge_default_folder_id</x:v>
      </x:c>
      <x:c r="B12" s="21" t="str">
        <x:v>知识库默认目录 ID</x:v>
      </x:c>
      <x:c r="C12" s="21" t="str">
        <x:v>KNOWLEDGE_DEFAULT_FOLDER_ID</x:v>
      </x:c>
      <x:c r="D12" s="21" t="str">
        <x:v>外部 Tool</x:v>
      </x:c>
      <x:c r="E12" s="21" t="str">
        <x:v>否</x:v>
      </x:c>
      <x:c r="F12" s="21" t="str">
        <x:v>是</x:v>
      </x:c>
      <x:c r="G12" s="21" t="str">
        <x:v>34a89aa7b43b473d8326cf6540fc3894</x:v>
      </x:c>
      <x:c r="H12" s="21" t="str">
        <x:v>database</x:v>
      </x:c>
      <x:c r="I12" s="21" t="str">
        <x:v>后续请求热更新</x:v>
      </x:c>
    </x:row>
    <x:row r="13" ht="30" customHeight="1">
      <x:c r="A13" s="21" t="str">
        <x:v>knowledge_top_k</x:v>
      </x:c>
      <x:c r="B13" s="21" t="str">
        <x:v>知识库 top_k</x:v>
      </x:c>
      <x:c r="C13" s="21" t="str">
        <x:v>KNOWLEDGE_TOP_K</x:v>
      </x:c>
      <x:c r="D13" s="21" t="str">
        <x:v>外部 Tool</x:v>
      </x:c>
      <x:c r="E13" s="21" t="str">
        <x:v>否</x:v>
      </x:c>
      <x:c r="F13" s="21" t="str">
        <x:v>是</x:v>
      </x:c>
      <x:c r="G13" s="21" t="n">
        <x:v>32</x:v>
      </x:c>
      <x:c r="H13" s="21" t="str">
        <x:v>database</x:v>
      </x:c>
      <x:c r="I13" s="21" t="str">
        <x:v>后续请求热更新</x:v>
      </x:c>
    </x:row>
    <x:row r="14" ht="30" customHeight="1">
      <x:c r="A14" s="21" t="str">
        <x:v>knowledge_timeout_seconds</x:v>
      </x:c>
      <x:c r="B14" s="21" t="str">
        <x:v>知识库超时（秒）</x:v>
      </x:c>
      <x:c r="C14" s="21" t="str">
        <x:v>KNOWLEDGE_TIMEOUT_SECONDS</x:v>
      </x:c>
      <x:c r="D14" s="21" t="str">
        <x:v>外部 Tool</x:v>
      </x:c>
      <x:c r="E14" s="21" t="str">
        <x:v>否</x:v>
      </x:c>
      <x:c r="F14" s="21" t="str">
        <x:v>是</x:v>
      </x:c>
      <x:c r="G14" s="21" t="n">
        <x:v>30</x:v>
      </x:c>
      <x:c r="H14" s="21" t="str">
        <x:v>database</x:v>
      </x:c>
      <x:c r="I14" s="21" t="str">
        <x:v>后续请求热更新</x:v>
      </x:c>
    </x:row>
    <x:row r="15" ht="30" customHeight="1">
      <x:c r="A15" s="21" t="str">
        <x:v>platform_gateway_url</x:v>
      </x:c>
      <x:c r="B15" s="21" t="str">
        <x:v>Swagger Tool URL</x:v>
      </x:c>
      <x:c r="C15" s="21" t="str">
        <x:v>PLATFORM_GATEWAY_URL</x:v>
      </x:c>
      <x:c r="D15" s="21" t="str">
        <x:v>外部 Tool</x:v>
      </x:c>
      <x:c r="E15" s="21" t="str">
        <x:v>否</x:v>
      </x:c>
      <x:c r="F15" s="21" t="str">
        <x:v>是</x:v>
      </x:c>
      <x:c r="G15" s="21" t="str">
        <x:v>http://platform-gateway:8102</x:v>
      </x:c>
      <x:c r="H15" s="21" t="str">
        <x:v>database</x:v>
      </x:c>
      <x:c r="I15" s="21" t="str">
        <x:v>后续请求热更新</x:v>
      </x:c>
    </x:row>
    <x:row r="16" ht="30" customHeight="1">
      <x:c r="A16" s="21" t="str">
        <x:v>platform_api_key</x:v>
      </x:c>
      <x:c r="B16" s="21" t="str">
        <x:v>Swagger/API Bearer Token</x:v>
      </x:c>
      <x:c r="C16" s="21" t="str">
        <x:v>PLATFORM_API_KEY</x:v>
      </x:c>
      <x:c r="D16" s="21" t="str">
        <x:v>外部 Tool</x:v>
      </x:c>
      <x:c r="E16" s="21" t="str">
        <x:v>是</x:v>
      </x:c>
      <x:c r="F16" s="21" t="str">
        <x:v>否</x:v>
      </x:c>
      <x:c r="G16" s="21" t="str"/>
      <x:c r="H16" s="21" t="str">
        <x:v>environment/default</x:v>
      </x:c>
      <x:c r="I16" s="21" t="str">
        <x:v>后续请求热更新</x:v>
      </x:c>
    </x:row>
    <x:row r="17" ht="30" customHeight="1">
      <x:c r="A17" s="21" t="str">
        <x:v>platform_timeout_seconds</x:v>
      </x:c>
      <x:c r="B17" s="21" t="str">
        <x:v>Swagger 超时（秒）</x:v>
      </x:c>
      <x:c r="C17" s="21" t="str">
        <x:v>PLATFORM_TIMEOUT_SECONDS</x:v>
      </x:c>
      <x:c r="D17" s="21" t="str">
        <x:v>外部 Tool</x:v>
      </x:c>
      <x:c r="E17" s="21" t="str">
        <x:v>否</x:v>
      </x:c>
      <x:c r="F17" s="21" t="str">
        <x:v>是</x:v>
      </x:c>
      <x:c r="G17" s="21" t="n">
        <x:v>30</x:v>
      </x:c>
      <x:c r="H17" s="21" t="str">
        <x:v>database</x:v>
      </x:c>
      <x:c r="I17" s="21" t="str">
        <x:v>后续请求热更新</x:v>
      </x:c>
    </x:row>
    <x:row r="18" ht="30" customHeight="1">
      <x:c r="A18" s="21" t="str">
        <x:v>ocr_gateway_url</x:v>
      </x:c>
      <x:c r="B18" s="21" t="str">
        <x:v>OCR Tool URL</x:v>
      </x:c>
      <x:c r="C18" s="21" t="str">
        <x:v>OCR_GATEWAY_URL</x:v>
      </x:c>
      <x:c r="D18" s="21" t="str">
        <x:v>外部 Tool</x:v>
      </x:c>
      <x:c r="E18" s="21" t="str">
        <x:v>否</x:v>
      </x:c>
      <x:c r="F18" s="21" t="str">
        <x:v>是</x:v>
      </x:c>
      <x:c r="G18" s="21" t="str">
        <x:v>http://ocr-gateway:8100</x:v>
      </x:c>
      <x:c r="H18" s="21" t="str">
        <x:v>database</x:v>
      </x:c>
      <x:c r="I18" s="21" t="str">
        <x:v>后续请求热更新</x:v>
      </x:c>
    </x:row>
    <x:row r="19" ht="30" customHeight="1">
      <x:c r="A19" s="21" t="str">
        <x:v>external_tools_enabled</x:v>
      </x:c>
      <x:c r="B19" s="21" t="str">
        <x:v>启用外部 Tools</x:v>
      </x:c>
      <x:c r="C19" s="21" t="str">
        <x:v>EXTERNAL_TOOLS_ENABLED</x:v>
      </x:c>
      <x:c r="D19" s="21" t="str">
        <x:v>外部 Tool</x:v>
      </x:c>
      <x:c r="E19" s="21" t="str">
        <x:v>否</x:v>
      </x:c>
      <x:c r="F19" s="21" t="str">
        <x:v>是</x:v>
      </x:c>
      <x:c r="G19" s="36" t="b">
        <x:v>1</x:v>
      </x:c>
      <x:c r="H19" s="21" t="str">
        <x:v>database</x:v>
      </x:c>
      <x:c r="I19" s="21" t="str">
        <x:v>后续请求热更新</x:v>
      </x:c>
    </x:row>
  </x:sheetData>
  <x:mergeCells>
    <x:mergeCell ref="A1:I1"/>
  </x:mergeCells>
  <x:conditionalFormatting sqref="E4:E19">
    <x:cfRule type="containsText" dxfId="4" priority="1" operator="containsText" text="是"/>
  </x:conditionalFormatting>
  <x:pageMargins left="0.7" right="0.7" top="0.75" bottom="0.75" header="0.3" footer="0.3"/>
  <x:tableParts count="1">
    <x:tablePart xmlns:r="http://schemas.openxmlformats.org/officeDocument/2006/relationships" r:id="R4d8266d1229d4b09"/>
  </x:tableParts>
</x:worksheet>
</file>