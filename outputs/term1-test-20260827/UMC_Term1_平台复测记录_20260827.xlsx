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9911be88a44177" /></Relationships>
</file>

<file path=xl/workbook.xml><?xml version="1.0" encoding="utf-8"?>
<x:workbook xmlns:x="http://schemas.openxmlformats.org/spreadsheetml/2006/main">
  <x:sheets>
    <x:sheet xmlns:r="http://schemas.openxmlformats.org/officeDocument/2006/relationships" name="测试总览" sheetId="1" r:id="R0c7c203342694cd3"/>
    <x:sheet xmlns:r="http://schemas.openxmlformats.org/officeDocument/2006/relationships" name="用例明细" sheetId="2" r:id="R56ac0f36846049c0"/>
    <x:sheet xmlns:r="http://schemas.openxmlformats.org/officeDocument/2006/relationships" name="业务覆盖" sheetId="3" r:id="Rdc4a45d211b24f99"/>
    <x:sheet xmlns:r="http://schemas.openxmlformats.org/officeDocument/2006/relationships" name="图片清单" sheetId="4" r:id="R0e2fcb7e438c422c"/>
    <x:sheet xmlns:r="http://schemas.openxmlformats.org/officeDocument/2006/relationships" name="配置快照" sheetId="5" r:id="R465a1843ff8b45d8"/>
    <x:sheet xmlns:r="http://schemas.openxmlformats.org/officeDocument/2006/relationships" name="接口验证" sheetId="6" r:id="R303ba75045624986"/>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
  </x:numFmts>
  <x:fonts count="5">
    <x:font>
      <x:sz val="11"/>
      <x:name val="Carlito"/>
    </x:font>
    <x:font>
      <x:b/>
      <x:sz val="16"/>
      <x:color rgb="FFFFFFFF"/>
      <x:name val="Carlito"/>
    </x:font>
    <x:font>
      <x:i/>
      <x:sz val="11"/>
      <x:color rgb="FF1F4E79"/>
      <x:name val="Carlito"/>
    </x:font>
    <x:font>
      <x:b/>
      <x:sz val="11"/>
      <x:color rgb="FFFFFFFF"/>
      <x:name val="Carlito"/>
    </x:font>
    <x:font>
      <x:b/>
      <x:sz val="11"/>
      <x:color rgb="FF1F4E79"/>
      <x:name val="Carlito"/>
    </x:font>
  </x:fonts>
  <x:fills count="7">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2F75B5"/>
      </x:patternFill>
    </x:fill>
    <x:fill>
      <x:patternFill patternType="solid">
        <x:fgColor rgb="FF5B9BD5"/>
      </x:patternFill>
    </x:fill>
    <x:fill>
      <x:patternFill patternType="solid">
        <x:fgColor rgb="FFF3F6FA"/>
      </x:patternFill>
    </x:fill>
  </x:fills>
  <x:borders count="3">
    <x:border/>
    <x:border>
      <x:left style="thin">
        <x:color rgb="FFB4C7E7"/>
      </x:left>
      <x:right style="thin">
        <x:color rgb="FFB4C7E7"/>
      </x:right>
      <x:top style="thin">
        <x:color rgb="FFB4C7E7"/>
      </x:top>
      <x:bottom style="thin">
        <x:color rgb="FFB4C7E7"/>
      </x:bottom>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2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2" xfId="0" applyNumberFormat="1" applyFont="1" applyFill="1" applyBorder="1"/>
    <x:xf numFmtId="0" fontId="0" fillId="0" borderId="2" xfId="0" applyNumberFormat="1" applyFont="1" applyFill="1" applyBorder="1" applyAlignment="1">
      <x:alignment wrapText="1"/>
    </x:xf>
    <x:xf numFmtId="0" fontId="0" fillId="0" borderId="2" xfId="0" applyNumberFormat="1" applyFont="1" applyFill="1" applyBorder="1" applyAlignment="1">
      <x:alignment vertical="top" wrapText="1"/>
    </x:xf>
    <x:xf numFmtId="0" fontId="4" fillId="0" borderId="2" xfId="0" applyNumberFormat="1" applyFont="1" applyFill="1" applyBorder="1" applyAlignment="1">
      <x:alignment vertical="top" wrapText="1"/>
    </x:xf>
    <x:xf numFmtId="200" fontId="4" fillId="0" borderId="2" xfId="0" applyNumberFormat="1" applyFont="1" applyFill="1" applyBorder="1" applyAlignment="1">
      <x:alignment vertical="top" wrapText="1"/>
    </x:xf>
    <x:xf numFmtId="0" fontId="0" fillId="5" borderId="0" xfId="0" applyNumberFormat="1" applyFont="1" applyFill="1" applyBorder="1"/>
    <x:xf numFmtId="0" fontId="3" fillId="5" borderId="0" xfId="0" applyNumberFormat="1" applyFont="1" applyFill="1" applyBorder="1"/>
    <x:xf numFmtId="0" fontId="0" fillId="6" borderId="0" xfId="0" applyNumberFormat="1" applyFont="1" applyFill="1" applyBorder="1"/>
    <x:xf numFmtId="0" fontId="0" fillId="6" borderId="0" xfId="0" applyNumberFormat="1" applyFont="1" applyFill="1" applyBorder="1" applyAlignment="1">
      <x:alignment wrapText="1"/>
    </x:xf>
    <x:xf numFmtId="0" fontId="0" fillId="6" borderId="0" xfId="0" applyNumberFormat="1" applyFont="1" applyFill="1" applyBorder="1" applyAlignment="1">
      <x:alignment vertical="top" wrapText="1"/>
    </x:xf>
    <x:xf numFmtId="201" fontId="0" fillId="0" borderId="2" xfId="0" applyNumberFormat="1" applyFont="1" applyFill="1" applyBorder="1" applyAlignment="1">
      <x:alignment vertical="top" wrapText="1"/>
    </x:xf>
    <x:xf numFmtId="200" fontId="0" fillId="0" borderId="2"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cellXfs>
  <x:cellStyles count="1">
    <x:cellStyle name="Normal" xfId="0"/>
  </x:cellStyles>
  <x:dxfs count="7">
    <x:dxf>
      <x:font>
        <x:color rgb="FF9C0006"/>
      </x:font>
      <x:fill>
        <x:patternFill patternType="solid">
          <x:bgColor rgb="FFF4CCCC"/>
        </x:patternFill>
      </x:fill>
    </x:dxf>
    <x:dxf>
      <x:font>
        <x:color rgb="FF006100"/>
      </x:font>
      <x:fill>
        <x:patternFill patternType="solid">
          <x:bgColor rgb="FFE2F0D9"/>
        </x:patternFill>
      </x:fill>
    </x:dxf>
    <x:dxf>
      <x:font>
        <x:color rgb="FF9C6500"/>
      </x:font>
      <x:fill>
        <x:patternFill patternType="solid">
          <x:bgColor rgb="FFFFF2CC"/>
        </x:patternFill>
      </x:fill>
    </x:dxf>
    <x:dxf>
      <x:font>
        <x:b/>
        <x:color rgb="FF006100"/>
      </x:font>
      <x:fill>
        <x:patternFill patternType="solid">
          <x:bgColor rgb="FFE2F0D9"/>
        </x:patternFill>
      </x:fill>
    </x:dxf>
    <x:dxf>
      <x:font>
        <x:b/>
        <x:color rgb="FF9C6500"/>
      </x:font>
      <x:fill>
        <x:patternFill patternType="solid">
          <x:bgColor rgb="FFFFF2CC"/>
        </x:patternFill>
      </x:fill>
    </x:dxf>
    <x:dxf>
      <x:font>
        <x:color rgb="FF9C0006"/>
      </x:font>
      <x:fill>
        <x:patternFill patternType="solid">
          <x:bgColor rgb="FFF4CCCC"/>
        </x:patternFill>
      </x:fill>
    </x:dxf>
    <x:dxf>
      <x:font>
        <x:color rgb="FF9C65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c08052b35b94603" /><Relationship Type="http://schemas.openxmlformats.org/officeDocument/2006/relationships/theme" Target="/xl/theme/theme1.xml" Id="R4ef10ecd9c3e419e" /><Relationship Type="http://schemas.microsoft.com/office/2022/11/relationships/FeaturePropertyBag" Target="/xl/featurePropertyBag/featurePropertyBag.xml" Id="Ra9157ddd722b47ea" /><Relationship Type="http://schemas.openxmlformats.org/officeDocument/2006/relationships/sharedStrings" Target="/xl/sharedStrings.xml" Id="R42f59028c93c4b14" /><Relationship Type="http://schemas.openxmlformats.org/officeDocument/2006/relationships/worksheet" Target="/xl/worksheets/sheet1.xml" Id="R0c7c203342694cd3" /><Relationship Type="http://schemas.openxmlformats.org/officeDocument/2006/relationships/worksheet" Target="/xl/worksheets/sheet2.xml" Id="R56ac0f36846049c0" /><Relationship Type="http://schemas.openxmlformats.org/officeDocument/2006/relationships/worksheet" Target="/xl/worksheets/sheet3.xml" Id="Rdc4a45d211b24f99" /><Relationship Type="http://schemas.openxmlformats.org/officeDocument/2006/relationships/worksheet" Target="/xl/worksheets/sheet4.xml" Id="R0e2fcb7e438c422c" /><Relationship Type="http://schemas.openxmlformats.org/officeDocument/2006/relationships/worksheet" Target="/xl/worksheets/sheet5.xml" Id="R465a1843ff8b45d8" /><Relationship Type="http://schemas.openxmlformats.org/officeDocument/2006/relationships/worksheet" Target="/xl/worksheets/sheet6.xml" Id="R303ba7504562498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rm1Cases" displayName="Term1Cases" ref="A1:X41" headerRowCount="1" totalsRowCount="0" totalsRowShown="0">
  <x:tableColumns count="24">
    <x:tableColumn id="1" name="用例ID"/>
    <x:tableColumn id="2" name="入口/角色"/>
    <x:tableColumn id="3" name="场景"/>
    <x:tableColumn id="4" name="类型"/>
    <x:tableColumn id="5" name="语言"/>
    <x:tableColumn id="6" name="用户对话"/>
    <x:tableColumn id="7" name="预期结果"/>
    <x:tableColumn id="8" name="关键检查"/>
    <x:tableColumn id="9" name="期望Skill"/>
    <x:tableColumn id="10" name="观察Skill"/>
    <x:tableColumn id="11" name="路由匹配"/>
    <x:tableColumn id="12" name="实际类别"/>
    <x:tableColumn id="13" name="模式"/>
    <x:tableColumn id="14" name="知识库"/>
    <x:tableColumn id="15" name="三路召回"/>
    <x:tableColumn id="16" name="top_k"/>
    <x:tableColumn id="17" name="Tool"/>
    <x:tableColumn id="18" name="Tool成功"/>
    <x:tableColumn id="19" name="完成"/>
    <x:tableColumn id="20" name="评分(5分)"/>
    <x:tableColumn id="21" name="耗时(ms)"/>
    <x:tableColumn id="22" name="图片占位"/>
    <x:tableColumn id="23" name="助手回答"/>
    <x:tableColumn id="24" name="执行备注"/>
  </x:tableColumns>
  <x:tableStyleInfo name="TableStyleMedium2" showFirstColumn="0" showLastColumn="0" showRowStripes="1" showColumnStripes="0"/>
</x:table>
</file>

<file path=xl/tables/table2.xml><?xml version="1.0" encoding="utf-8"?>
<x:table xmlns:x="http://schemas.openxmlformats.org/spreadsheetml/2006/main" id="2" name="Term1Coverage" displayName="Term1Coverage" ref="A3:I8" headerRowCount="1" totalsRowCount="0" totalsRowShown="0">
  <x:tableColumns count="9">
    <x:tableColumn id="1" name="业务域"/>
    <x:tableColumn id="2" name="用例范围"/>
    <x:tableColumn id="3" name="用例数"/>
    <x:tableColumn id="4" name="English"/>
    <x:tableColumn id="5" name="العربية"/>
    <x:tableColumn id="6" name="路由匹配"/>
    <x:tableColumn id="7" name="Tool 成功"/>
    <x:tableColumn id="8" name="平均评分"/>
    <x:tableColumn id="9" name="结论"/>
  </x:tableColumns>
  <x:tableStyleInfo name="TableStyleMedium2" showFirstColumn="0" showLastColumn="0" showRowStripes="1" showColumnStripes="0"/>
</x:table>
</file>

<file path=xl/tables/table3.xml><?xml version="1.0" encoding="utf-8"?>
<x:table xmlns:x="http://schemas.openxmlformats.org/spreadsheetml/2006/main" id="3" name="Term1Images" displayName="Term1Images" ref="A3:H13" headerRowCount="1" totalsRowCount="0" totalsRowShown="0">
  <x:tableColumns count="8">
    <x:tableColumn id="1" name="Image ID"/>
    <x:tableColumn id="2" name="文件名"/>
    <x:tableColumn id="3" name="用途"/>
    <x:tableColumn id="4" name="预期抽取"/>
    <x:tableColumn id="5" name="关联用例"/>
    <x:tableColumn id="6" name="文件存在"/>
    <x:tableColumn id="7" name="本轮状态"/>
    <x:tableColumn id="8" name="下一步"/>
  </x:tableColumns>
  <x:tableStyleInfo name="TableStyleMedium2" showFirstColumn="0" showLastColumn="0" showRowStripes="1" showColumnStripes="0"/>
</x:table>
</file>

<file path=xl/tables/table4.xml><?xml version="1.0" encoding="utf-8"?>
<x:table xmlns:x="http://schemas.openxmlformats.org/spreadsheetml/2006/main" id="4" name="Term1ConfigSnapshot" displayName="Term1ConfigSnapshot" ref="A3:I19" headerRowCount="1" totalsRowCount="0" totalsRowShown="0">
  <x:tableColumns count="9">
    <x:tableColumn id="1" name="Key"/>
    <x:tableColumn id="2" name="名称"/>
    <x:tableColumn id="3" name="环境变量"/>
    <x:tableColumn id="4" name="分组"/>
    <x:tableColumn id="5" name="敏感"/>
    <x:tableColumn id="6" name="已配置"/>
    <x:tableColumn id="7" name="当前值"/>
    <x:tableColumn id="8" name="来源"/>
    <x:tableColumn id="9" name="生效方式"/>
  </x:tableColumns>
  <x:tableStyleInfo name="TableStyleMedium2" showFirstColumn="0" showLastColumn="0" showRowStripes="1" showColumnStripes="0"/>
</x:table>
</file>

<file path=xl/tables/table5.xml><?xml version="1.0" encoding="utf-8"?>
<x:table xmlns:x="http://schemas.openxmlformats.org/spreadsheetml/2006/main" id="5" name="Term1ApiEvidence" displayName="Term1ApiEvidence" ref="A3:G10" headerRowCount="1" totalsRowCount="0" totalsRowShown="0">
  <x:tableColumns count="7">
    <x:tableColumn id="1" name="接口/组件"/>
    <x:tableColumn id="2" name="访问地址"/>
    <x:tableColumn id="3" name="调用方式"/>
    <x:tableColumn id="4" name="状态"/>
    <x:tableColumn id="5" name="结果"/>
    <x:tableColumn id="6" name="本轮调用"/>
    <x:tableColumn id="7" name="备注"/>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b855eab131846d9" /></Relationships>
</file>

<file path=xl/worksheets/_rels/sheet3.xml.rels>&#65279;<?xml version="1.0" encoding="utf-8"?><Relationships xmlns="http://schemas.openxmlformats.org/package/2006/relationships"><Relationship Type="http://schemas.openxmlformats.org/officeDocument/2006/relationships/table" Target="/xl/tables/table2.xml" Id="R81cdebb9881846ee" /></Relationships>
</file>

<file path=xl/worksheets/_rels/sheet4.xml.rels>&#65279;<?xml version="1.0" encoding="utf-8"?><Relationships xmlns="http://schemas.openxmlformats.org/package/2006/relationships"><Relationship Type="http://schemas.openxmlformats.org/officeDocument/2006/relationships/table" Target="/xl/tables/table3.xml" Id="R35a997e215ef42d9" /></Relationships>
</file>

<file path=xl/worksheets/_rels/sheet5.xml.rels>&#65279;<?xml version="1.0" encoding="utf-8"?><Relationships xmlns="http://schemas.openxmlformats.org/package/2006/relationships"><Relationship Type="http://schemas.openxmlformats.org/officeDocument/2006/relationships/table" Target="/xl/tables/table4.xml" Id="R407cd0ebcf554a7e" /></Relationships>
</file>

<file path=xl/worksheets/_rels/sheet6.xml.rels>&#65279;<?xml version="1.0" encoding="utf-8"?><Relationships xmlns="http://schemas.openxmlformats.org/package/2006/relationships"><Relationship Type="http://schemas.openxmlformats.org/officeDocument/2006/relationships/table" Target="/xl/tables/table5.xml" Id="Rbd1c60ec7e8a4ba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6" hidden="0" customWidth="1"/>
    <x:col min="3" max="3" width="3" hidden="0" customWidth="1"/>
    <x:col min="4" max="4" width="18" hidden="0" customWidth="1"/>
    <x:col min="5" max="5" width="40" hidden="0" customWidth="1"/>
    <x:col min="6" max="6" width="14" hidden="0" customWidth="1"/>
    <x:col min="7" max="7" width="44" hidden="0" customWidth="1"/>
    <x:col min="8" max="8" width="26" hidden="0" customWidth="1"/>
  </x:cols>
  <x:sheetData>
    <x:row r="1" ht="30" customHeight="1">
      <x:c r="A1" s="4" t="str">
        <x:v>UMC · Term1 Docker 平台复测记录</x:v>
      </x:c>
      <x:c r="B1" s="4" t="str">
        <x:v>UMC · Term1 Docker 平台复测记录</x:v>
      </x:c>
      <x:c r="C1" s="4" t="str">
        <x:v>UMC · Term1 Docker 平台复测记录</x:v>
      </x:c>
      <x:c r="D1" s="4" t="str">
        <x:v>UMC · Term1 Docker 平台复测记录</x:v>
      </x:c>
      <x:c r="E1" s="4" t="str">
        <x:v>UMC · Term1 Docker 平台复测记录</x:v>
      </x:c>
      <x:c r="F1" s="4" t="str">
        <x:v>UMC · Term1 Docker 平台复测记录</x:v>
      </x:c>
      <x:c r="G1" s="4" t="str">
        <x:v>UMC · Term1 Docker 平台复测记录</x:v>
      </x:c>
      <x:c r="H1" s="4" t="str">
        <x:v>UMC · Term1 Docker 平台复测记录</x:v>
      </x:c>
    </x:row>
    <x:row r="2">
      <x:c r="A2" s="6" t="str">
        <x:v>测试数据：Term1-Test/nma_workflow_test_full.xlsx｜执行日期：2026-08-27｜平台：Docker Compose</x:v>
      </x:c>
      <x:c r="B2" s="6"/>
      <x:c r="C2" s="6"/>
      <x:c r="D2" s="6"/>
      <x:c r="E2" s="6"/>
      <x:c r="F2" s="6"/>
      <x:c r="G2" s="6"/>
      <x:c r="H2" s="6"/>
    </x:row>
    <x:row r="4" ht="30" customHeight="1">
      <x:c r="A4" s="12" t="str">
        <x:v>指标</x:v>
      </x:c>
      <x:c r="B4" s="12" t="str">
        <x:v>结果</x:v>
      </x:c>
      <x:c r="D4" s="12" t="str">
        <x:v>验证范围</x:v>
      </x:c>
      <x:c r="E4" s="12" t="str">
        <x:v>地址/参数</x:v>
      </x:c>
      <x:c r="F4" s="12" t="str">
        <x:v>状态</x:v>
      </x:c>
      <x:c r="G4" s="12" t="str">
        <x:v>说明</x:v>
      </x:c>
      <x:c r="H4" s="12" t="str">
        <x:v>本轮证据</x:v>
      </x:c>
    </x:row>
    <x:row r="5">
      <x:c r="A5" s="15" t="str">
        <x:v>测试用例数</x:v>
      </x:c>
      <x:c r="B5" s="16" t="n">
        <x:f>COUNTA('用例明细'!A2:A41)</x:f>
        <x:v>40</x:v>
      </x:c>
      <x:c r="D5" s="15" t="str">
        <x:v>Backend</x:v>
      </x:c>
      <x:c r="E5" s="15" t="str">
        <x:v>http://localhost:8000</x:v>
      </x:c>
      <x:c r="F5" s="15" t="str">
        <x:v>可用</x:v>
      </x:c>
      <x:c r="G5" s="15" t="str">
        <x:v>/healthz 返回状态 200</x:v>
      </x:c>
      <x:c r="H5" s="15" t="str">
        <x:v>40 条用例已返回</x:v>
      </x:c>
    </x:row>
    <x:row r="6">
      <x:c r="A6" s="15" t="str">
        <x:v>English 用例数</x:v>
      </x:c>
      <x:c r="B6" s="16" t="n">
        <x:f>COUNTIF('用例明细'!E2:E41,"en")</x:f>
        <x:v>36</x:v>
      </x:c>
      <x:c r="D6" s="15" t="str">
        <x:v>Frontend</x:v>
      </x:c>
      <x:c r="E6" s="15" t="str">
        <x:v>http://localhost:18080</x:v>
      </x:c>
      <x:c r="F6" s="15" t="str">
        <x:v>可用</x:v>
      </x:c>
      <x:c r="G6" s="15" t="str">
        <x:v>Docker Nginx 页面可访问</x:v>
      </x:c>
      <x:c r="H6" s="15" t="str">
        <x:v>提供对话/配置/批测界面</x:v>
      </x:c>
    </x:row>
    <x:row r="7">
      <x:c r="A7" s="15" t="str">
        <x:v>العربية 用例数</x:v>
      </x:c>
      <x:c r="B7" s="16" t="n">
        <x:f>COUNTIF('用例明细'!E2:E41,"ar")</x:f>
        <x:v>4</x:v>
      </x:c>
      <x:c r="D7" s="15" t="str">
        <x:v>知识库服务器</x:v>
      </x:c>
      <x:c r="E7" s="15" t="str">
        <x:v>77.242.240.158:18085</x:v>
      </x:c>
      <x:c r="F7" s="15" t="str">
        <x:v>已配置</x:v>
      </x:c>
      <x:c r="G7" s="15" t="str">
        <x:v>/api/platform/api/v1；供 dsh 的 knowledge Tool 调用</x:v>
      </x:c>
      <x:c r="H7" s="15" t="str">
        <x:v>知识库 Tool 成功记录在明细</x:v>
      </x:c>
    </x:row>
    <x:row r="8">
      <x:c r="A8" s="15" t="str">
        <x:v>路由匹配</x:v>
      </x:c>
      <x:c r="B8" s="16" t="str">
        <x:f>COUNTIF('用例明细'!K2:K41,"是")&amp;"/"&amp;B5</x:f>
        <x:v>40/40</x:v>
      </x:c>
      <x:c r="D8" s="15" t="str">
        <x:v>Swagger 服务器</x:v>
      </x:c>
      <x:c r="E8" s="15" t="str">
        <x:v>77.242.240.158:18085</x:v>
      </x:c>
      <x:c r="F8" s="15" t="str">
        <x:v>已配置</x:v>
      </x:c>
      <x:c r="G8" s="15" t="str">
        <x:v>/api/platform；与知识库使用同一服务器</x:v>
      </x:c>
      <x:c r="H8" s="15" t="str">
        <x:v>应用状态 Tool 成功记录在明细</x:v>
      </x:c>
    </x:row>
    <x:row r="9">
      <x:c r="A9" s="15" t="str">
        <x:v>全部完成</x:v>
      </x:c>
      <x:c r="B9" s="16" t="str">
        <x:f>COUNTIF('用例明细'!S2:S41,"是")&amp;"/"&amp;B5</x:f>
        <x:v>40/40</x:v>
      </x:c>
      <x:c r="D9" s="15" t="str">
        <x:v>三路召回</x:v>
      </x:c>
      <x:c r="E9" s="15" t="str">
        <x:v>bm25 + graph + vector</x:v>
      </x:c>
      <x:c r="F9" s="15" t="str">
        <x:v>已配置</x:v>
      </x:c>
      <x:c r="G9" s="15" t="str">
        <x:v>知识库用例 top_k 固定为 32</x:v>
      </x:c>
      <x:c r="H9" s="15" t="str">
        <x:v>检索模式写入每条用例</x:v>
      </x:c>
    </x:row>
    <x:row r="10">
      <x:c r="A10" s="15" t="str">
        <x:v>知识库 Tool 成功</x:v>
      </x:c>
      <x:c r="B10" s="16" t="n">
        <x:f>COUNTIFS('用例明细'!Q2:Q41,"knowledge.search",'用例明细'!R2:R41,"是")</x:f>
        <x:v>15</x:v>
      </x:c>
      <x:c r="D10" s="15" t="str">
        <x:v>OCR Tool</x:v>
      </x:c>
      <x:c r="E10" s="15" t="str">
        <x:v>PaddleOCR-VL-1.6</x:v>
      </x:c>
      <x:c r="F10" s="15" t="str">
        <x:v>已配置</x:v>
      </x:c>
      <x:c r="G10" s="15" t="str">
        <x:v>ocr-gateway:8100；需上传文件才执行真实解析</x:v>
      </x:c>
      <x:c r="H10" s="15" t="str">
        <x:v>5 条图片用例验证路由/恢复提示</x:v>
      </x:c>
    </x:row>
    <x:row r="11">
      <x:c r="A11" s="15" t="str">
        <x:v>平台 Tool 成功</x:v>
      </x:c>
      <x:c r="B11" s="16" t="n">
        <x:f>COUNTIFS('用例明细'!Q2:Q41,"umc.applications",'用例明细'!R2:R41,"是")</x:f>
        <x:v>5</x:v>
      </x:c>
      <x:c r="D11" s="15" t="str">
        <x:v>模型</x:v>
      </x:c>
      <x:c r="E11" s="15" t="str">
        <x:v>deepseek-v4-flash</x:v>
      </x:c>
      <x:c r="F11" s="15" t="str">
        <x:v>已配置</x:v>
      </x:c>
      <x:c r="G11" s="15" t="str">
        <x:v>OpenAI-compatible streaming</x:v>
      </x:c>
      <x:c r="H11" s="15" t="str">
        <x:v>本轮 40 条均完成</x:v>
      </x:c>
    </x:row>
    <x:row r="12">
      <x:c r="A12" s="15" t="str">
        <x:v>OCR 真实解析</x:v>
      </x:c>
      <x:c r="B12" s="16" t="n">
        <x:f>COUNTIFS('用例明细'!V2:V41,"是",'用例明细'!R2:R41,"是")</x:f>
        <x:v>0</x:v>
      </x:c>
      <x:c r="D12" s="15" t="str">
        <x:v>数据库 / Redis</x:v>
      </x:c>
      <x:c r="E12" s="15" t="str">
        <x:v>PostgreSQL + Redis</x:v>
      </x:c>
      <x:c r="F12" s="15" t="str">
        <x:v>可用</x:v>
      </x:c>
      <x:c r="G12" s="15" t="str">
        <x:v>Docker Compose 内部服务；敏感连接串只在配置快照中遮罩</x:v>
      </x:c>
      <x:c r="H12" s="15" t="str">
        <x:v>会话与运行事件可持久化</x:v>
      </x:c>
    </x:row>
    <x:row r="13">
      <x:c r="A13" s="15" t="str">
        <x:v>5 分题数</x:v>
      </x:c>
      <x:c r="B13" s="16" t="n">
        <x:f>COUNTIF('用例明细'!T2:T41,5)</x:f>
        <x:v>40</x:v>
      </x:c>
      <x:c r="D13" s="15" t="str">
        <x:v>认证门禁</x:v>
      </x:c>
      <x:c r="E13" s="15" t="str">
        <x:v>UMC Bearer Token</x:v>
      </x:c>
      <x:c r="F13" s="15" t="str">
        <x:v>待提供</x:v>
      </x:c>
      <x:c r="G13" s="15" t="str">
        <x:v>无真实用户 Token 时不伪造账号数据，不执行写入</x:v>
      </x:c>
      <x:c r="H13" s="15" t="str">
        <x:v>账户/管理员用例输出收集或安全提示</x:v>
      </x:c>
    </x:row>
    <x:row r="14">
      <x:c r="A14" s="15" t="str">
        <x:v>平均评分（5分制）</x:v>
      </x:c>
      <x:c r="B14" s="16" t="n">
        <x:f>AVERAGE('用例明细'!T2:T41)</x:f>
        <x:v>5</x:v>
      </x:c>
      <x:c r="D14" s="15" t="str">
        <x:v>批测结果</x:v>
      </x:c>
      <x:c r="E14" s="15" t="str">
        <x:v>40 条；并发上限 6</x:v>
      </x:c>
      <x:c r="F14" s="15" t="str">
        <x:v>通过</x:v>
      </x:c>
      <x:c r="G14" s="15" t="str">
        <x:v>路由、完成度、Tool、5 分制技术验收</x:v>
      </x:c>
      <x:c r="H14" s="15" t="str">
        <x:v>40/40；平均 5.00/5</x:v>
      </x:c>
    </x:row>
    <x:row r="15">
      <x:c r="A15" s="15" t="str">
        <x:v>失败/超时数</x:v>
      </x:c>
      <x:c r="B15" s="17" t="n">
        <x:f>COUNTIF('用例明细'!S2:S41,"否")+COUNTIF('用例明细'!K2:K41,"否")</x:f>
        <x:v>0</x:v>
      </x:c>
    </x:row>
    <x:row r="16">
      <x:c r="A16" s="15" t="str">
        <x:v>需人工复核</x:v>
      </x:c>
      <x:c r="B16" s="16" t="n">
        <x:f>COUNTIF('用例明细'!X2:X41,"*复核*")</x:f>
        <x:v>0</x:v>
      </x:c>
    </x:row>
    <x:row r="19">
      <x:c r="A19" s="19" t="str">
        <x:v>执行结论</x:v>
      </x:c>
      <x:c r="B19" s="19"/>
      <x:c r="C19" s="19"/>
      <x:c r="D19" s="19"/>
      <x:c r="E19" s="19"/>
      <x:c r="F19" s="19"/>
      <x:c r="G19" s="19"/>
      <x:c r="H19" s="19"/>
    </x:row>
    <x:row r="20" ht="34" customHeight="1">
      <x:c r="A20" s="22" t="str">
        <x:v>本轮使用当前 Docker 平台执行 Term1-Test 的 40 条测试：公共知识库/法规、客户申请与支付、续期/罚款/咨询、多轮上下文、管理员分析审计、英文/阿语及 OCR 图片入口均已覆盖。40/40 路由匹配、40/40 完成、平均技术验收 5.00/5。图片文件在测试包中存在，但本轮批测接口只接收文本占位符，没有把图片二进制上传到 OCR Tool，因此 5 条图片用例的结论是“已验证 OCR 路由和恢复提示”，不是 OCR 字段识别通过。需要真实账户或管理员权限的动作遵守 Token、确认和不编造数据门禁。</x:v>
      </x:c>
      <x:c r="B20" s="22"/>
      <x:c r="C20" s="22"/>
      <x:c r="D20" s="22"/>
      <x:c r="E20" s="22"/>
      <x:c r="F20" s="22"/>
      <x:c r="G20" s="22"/>
      <x:c r="H20" s="22"/>
    </x:row>
    <x:row r="21" ht="34" customHeight="1">
      <x:c r="A21" s="22"/>
      <x:c r="B21" s="22"/>
      <x:c r="C21" s="22"/>
      <x:c r="D21" s="22"/>
      <x:c r="E21" s="22"/>
      <x:c r="F21" s="22"/>
      <x:c r="G21" s="22"/>
      <x:c r="H21" s="22"/>
    </x:row>
    <x:row r="22" ht="34" customHeight="1">
      <x:c r="A22" s="22"/>
      <x:c r="B22" s="22"/>
      <x:c r="C22" s="22"/>
      <x:c r="D22" s="22"/>
      <x:c r="E22" s="22"/>
      <x:c r="F22" s="22"/>
      <x:c r="G22" s="22"/>
      <x:c r="H22" s="22"/>
    </x:row>
    <x:row r="23" ht="34" customHeight="1">
      <x:c r="A23" s="22"/>
      <x:c r="B23" s="22"/>
      <x:c r="C23" s="22"/>
      <x:c r="D23" s="22"/>
      <x:c r="E23" s="22"/>
      <x:c r="F23" s="22"/>
      <x:c r="G23" s="22"/>
      <x:c r="H23" s="22"/>
    </x:row>
  </x:sheetData>
  <x:mergeCells>
    <x:mergeCell ref="A1:H1"/>
    <x:mergeCell ref="A2:H2"/>
    <x:mergeCell ref="A19:H19"/>
    <x:mergeCell ref="A20:H23"/>
  </x:mergeCells>
  <x:conditionalFormatting sqref="B15:B15">
    <x:cfRule type="colorScale" priority="1">
      <x:colorScale>
        <x:cfvo type="min"/>
        <x:cfvo type="percentile" val="50"/>
        <x:cfvo type="max"/>
        <x:color rgb="FFF8696B"/>
        <x:color rgb="FFFFEB84"/>
        <x:color rgb="FF63BE7B"/>
      </x:colorScale>
    </x:cfRule>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6" hidden="0" customWidth="1"/>
    <x:col min="3" max="3" width="24" hidden="0" customWidth="1"/>
    <x:col min="4" max="4" width="18" hidden="0" customWidth="1"/>
    <x:col min="5" max="5" width="9" hidden="0" customWidth="1"/>
    <x:col min="6" max="6" width="50" hidden="0" customWidth="1"/>
    <x:col min="7" max="7" width="48" hidden="0" customWidth="1"/>
    <x:col min="8" max="8" width="44" hidden="0" customWidth="1"/>
    <x:col min="9" max="9" width="24" hidden="0" customWidth="1"/>
    <x:col min="10" max="10" width="24" hidden="0" customWidth="1"/>
    <x:col min="11" max="11" width="10" hidden="0" customWidth="1"/>
    <x:col min="12" max="12" width="14" hidden="0" customWidth="1"/>
    <x:col min="13" max="13" width="12" hidden="0" customWidth="1"/>
    <x:col min="14" max="14" width="10" hidden="0" customWidth="1"/>
    <x:col min="15" max="15" width="22" hidden="0" customWidth="1"/>
    <x:col min="16" max="16" width="8" hidden="0" customWidth="1"/>
    <x:col min="17" max="17" width="24" hidden="0" customWidth="1"/>
    <x:col min="18" max="18" width="10" hidden="0" customWidth="1"/>
    <x:col min="19" max="19" width="10" hidden="0" customWidth="1"/>
    <x:col min="20" max="20" width="10" hidden="0" customWidth="1"/>
    <x:col min="21" max="21" width="12" hidden="0" customWidth="1"/>
    <x:col min="22" max="22" width="10" hidden="0" customWidth="1"/>
    <x:col min="23" max="23" width="78" hidden="0" customWidth="1"/>
    <x:col min="24" max="24" width="34" hidden="0" customWidth="1"/>
  </x:cols>
  <x:sheetData>
    <x:row r="1" ht="34" customHeight="1">
      <x:c r="A1" s="12" t="str">
        <x:v>用例ID</x:v>
      </x:c>
      <x:c r="B1" s="12" t="str">
        <x:v>入口/角色</x:v>
      </x:c>
      <x:c r="C1" s="12" t="str">
        <x:v>场景</x:v>
      </x:c>
      <x:c r="D1" s="12" t="str">
        <x:v>类型</x:v>
      </x:c>
      <x:c r="E1" s="12" t="str">
        <x:v>语言</x:v>
      </x:c>
      <x:c r="F1" s="12" t="str">
        <x:v>用户对话</x:v>
      </x:c>
      <x:c r="G1" s="12" t="str">
        <x:v>预期结果</x:v>
      </x:c>
      <x:c r="H1" s="12" t="str">
        <x:v>关键检查</x:v>
      </x:c>
      <x:c r="I1" s="12" t="str">
        <x:v>期望Skill</x:v>
      </x:c>
      <x:c r="J1" s="12" t="str">
        <x:v>观察Skill</x:v>
      </x:c>
      <x:c r="K1" s="12" t="str">
        <x:v>路由匹配</x:v>
      </x:c>
      <x:c r="L1" s="12" t="str">
        <x:v>实际类别</x:v>
      </x:c>
      <x:c r="M1" s="12" t="str">
        <x:v>模式</x:v>
      </x:c>
      <x:c r="N1" s="12" t="str">
        <x:v>知识库</x:v>
      </x:c>
      <x:c r="O1" s="12" t="str">
        <x:v>三路召回</x:v>
      </x:c>
      <x:c r="P1" s="12" t="str">
        <x:v>top_k</x:v>
      </x:c>
      <x:c r="Q1" s="12" t="str">
        <x:v>Tool</x:v>
      </x:c>
      <x:c r="R1" s="12" t="str">
        <x:v>Tool成功</x:v>
      </x:c>
      <x:c r="S1" s="12" t="str">
        <x:v>完成</x:v>
      </x:c>
      <x:c r="T1" s="12" t="str">
        <x:v>评分(5分)</x:v>
      </x:c>
      <x:c r="U1" s="12" t="str">
        <x:v>耗时(ms)</x:v>
      </x:c>
      <x:c r="V1" s="12" t="str">
        <x:v>图片占位</x:v>
      </x:c>
      <x:c r="W1" s="12" t="str">
        <x:v>助手回答</x:v>
      </x:c>
      <x:c r="X1" s="12" t="str">
        <x:v>执行备注</x:v>
      </x:c>
    </x:row>
    <x:row r="2" ht="34" customHeight="1">
      <x:c r="A2" s="15" t="str">
        <x:v>TC-001</x:v>
      </x:c>
      <x:c r="B2" s="15" t="str">
        <x:v>Public / guest</x:v>
      </x:c>
      <x:c r="C2" s="15" t="str">
        <x:v>Service discovery</x:v>
      </x:c>
      <x:c r="D2" s="15" t="str">
        <x:v>KB + guidance</x:v>
      </x:c>
      <x:c r="E2" s="15" t="str">
        <x:v>en</x:v>
      </x:c>
      <x:c r="F2" s="15" t="str">
        <x:v>I need a media permit. Which service should I apply for?</x:v>
      </x:c>
      <x:c r="G2" s="15" t="str">
        <x:v>Clarify the activity, recommend a likely service, explain prerequisites and link to the official process.</x:v>
      </x:c>
      <x:c r="H2" s="15" t="str">
        <x:v>Asks only necessary clarification; does not guess; cites official source.</x:v>
      </x:c>
      <x:c r="I2" s="15" t="str">
        <x:v>service_discovery</x:v>
      </x:c>
      <x:c r="J2" s="15" t="str">
        <x:v>service_discovery</x:v>
      </x:c>
      <x:c r="K2" s="15" t="str">
        <x:v>是</x:v>
      </x:c>
      <x:c r="L2" s="15" t="str">
        <x:v>knowledge</x:v>
      </x:c>
      <x:c r="M2" s="15" t="str">
        <x:v>answer</x:v>
      </x:c>
      <x:c r="N2" s="15" t="str">
        <x:v>是</x:v>
      </x:c>
      <x:c r="O2" s="15" t="str">
        <x:v>bm25, graph, vector</x:v>
      </x:c>
      <x:c r="P2" s="23" t="n">
        <x:v>32</x:v>
      </x:c>
      <x:c r="Q2" s="15" t="str">
        <x:v>knowledge.search</x:v>
      </x:c>
      <x:c r="R2" s="15" t="str">
        <x:v>是</x:v>
      </x:c>
      <x:c r="S2" s="15" t="str">
        <x:v>是</x:v>
      </x:c>
      <x:c r="T2" s="23" t="n">
        <x:v>5</x:v>
      </x:c>
      <x:c r="U2" s="23" t="n">
        <x:v>12878</x:v>
      </x:c>
      <x:c r="V2" s="15" t="str">
        <x:v>否</x:v>
      </x:c>
      <x:c r="W2" s="15" t="str">
        <x:v>根据现有知识库，“媒体许可证”是一个宽泛类别，对应多个具体服务，不能直接指定一个。**需要先确认您计划从事的媒体活动类型**，才能推荐准确服务。
以下是知识库中查到的部分候选服务（均为**商业实体 UserTypeId=2** 对应的服务及参考费用，最终以官方为准）：
| 活动类型 | 对应服务 | 参考费用 (AED) |
|---|---|---|
| 运营提供新闻/广告的电子媒体平台 | 媒体许可证（发行许可） | 5,000 |
| 运营播客/视频博客平台 | 媒体许可证（播客/视频博客） | 5,000 |
| 开设电影院（二类，1–5个屏幕） | 媒体许可证（电影院） | 60,000 |
| 临时商业电影院 | 媒体许可证（临时影院） | 10,000 |
| 销售视听记录和视听媒体 | 媒体许可证（销售视听媒体） | 4,000 |
| 放映电影（普通） | 媒体材料流通许可（电影放映） | 1,000 |
| 放映电影（加急） | 媒体材料流通许可（加急放映） | 6,000 |
| 视觉作品许可 | 媒体材料流通许可（视觉作品） | 400 |
| 音频内容许可 | 媒体材料流通许可（音频内容） | 200 |
此外，知识库还包含：报纸/杂志发行许可、电子游戏流通许可、广告内容许可、记者/外国媒体记者服务、脚本审批许可等，但没有覆盖全部服务。
**请您补充以下信息，我可以帮您进一步定位：**
1. 您具体的业务/活动是什么？（例如：运营新闻网站、做播客、开影院、销售光盘、放映电影、发行杂志等）
2. 申请主体是**商业实体**还是**个人/访客**？
另外，续期（renewal）和延期（extension）属于不同服务，如果您是办理已有许可的续期或延期，也请说明。</x:v>
      </x:c>
      <x:c r="X2" s="15" t="str">
        <x:v>已通过当前 Docker 平台执行</x:v>
      </x:c>
    </x:row>
    <x:row r="3" ht="34" customHeight="1">
      <x:c r="A3" s="15" t="str">
        <x:v>TC-002</x:v>
      </x:c>
      <x:c r="B3" s="15" t="str">
        <x:v>Public / guest</x:v>
      </x:c>
      <x:c r="C3" s="15" t="str">
        <x:v>Photography permit</x:v>
      </x:c>
      <x:c r="D3" s="15" t="str">
        <x:v>How-to</x:v>
      </x:c>
      <x:c r="E3" s="15" t="str">
        <x:v>en</x:v>
      </x:c>
      <x:c r="F3" s="15" t="str">
        <x:v>How do I apply for a photography permit?</x:v>
      </x:c>
      <x:c r="G3" s="15" t="str">
        <x:v>Give the steps, required documents, fee/time guidance and official application route.</x:v>
      </x:c>
      <x:c r="H3" s="15" t="str">
        <x:v>Separates confirmed facts from estimates; provides a clear next action.</x:v>
      </x:c>
      <x:c r="I3" s="15" t="str">
        <x:v>license_application</x:v>
      </x:c>
      <x:c r="J3" s="15" t="str">
        <x:v>license_application</x:v>
      </x:c>
      <x:c r="K3" s="15" t="str">
        <x:v>是</x:v>
      </x:c>
      <x:c r="L3" s="15" t="str">
        <x:v>knowledge</x:v>
      </x:c>
      <x:c r="M3" s="15" t="str">
        <x:v>answer</x:v>
      </x:c>
      <x:c r="N3" s="15" t="str">
        <x:v>是</x:v>
      </x:c>
      <x:c r="O3" s="15" t="str">
        <x:v>bm25, graph, vector</x:v>
      </x:c>
      <x:c r="P3" s="23" t="n">
        <x:v>32</x:v>
      </x:c>
      <x:c r="Q3" s="15" t="str">
        <x:v>knowledge.search</x:v>
      </x:c>
      <x:c r="R3" s="15" t="str">
        <x:v>是</x:v>
      </x:c>
      <x:c r="S3" s="15" t="str">
        <x:v>是</x:v>
      </x:c>
      <x:c r="T3" s="23" t="n">
        <x:v>5</x:v>
      </x:c>
      <x:c r="U3" s="23" t="n">
        <x:v>9719</x:v>
      </x:c>
      <x:c r="V3" s="15" t="str">
        <x:v>否</x:v>
      </x:c>
      <x:c r="W3" s="15" t="str">
        <x:v>Based on the UAE media regulations and the National Media Authority (NMA) e‑services, you can apply for a photography/filming permit as follows:
### Where to apply
Use the NMA online services portal: **https://www.nma.gov.ae/en/services**  
Relevant permits include:
- **Ground filming permit within the country**
- **Aerial photography permit within the UAE**
- **Marine photography permit within the UAE**
### Application procedure (per Article 21 of the Media Executive Regulation)
1. **Submit electronically** using the designated form and attach all required documents.
2. **Apply at least 15 working days** before the intended filming/photography start date.
3. Fill in the data form **correctly and completely**.
4. Clearly state the **purpose** of filming (e.g., motion picture, TV report, advertisement, video clip, or other).
5. Provide the **start and end dates** and **precise locations** to be photographed.
6. Attach an **authorization letter** or official letter from the relevant executing/supervising entity, if applicable.
7. For movies/plays, attach a **script approval permit** issued by the UAE Media Council (or the competent authority for TV series).
8. Comply with **media content standards** and any other conditions specified by the competent authority.
### Note
- Article 11 gives the authority **15 working days** to review the application and **3 working days** to notify you of the decision.
- If no decision is issued within 15 working days, the application is **implicitly rejected**.
- The specific documents and fees may vary by permit type — check the e‑service page for the exact requirements before applying.</x:v>
      </x:c>
      <x:c r="X3" s="15" t="str">
        <x:v>已通过当前 Docker 平台执行</x:v>
      </x:c>
    </x:row>
    <x:row r="4" ht="34" customHeight="1">
      <x:c r="A4" s="15" t="str">
        <x:v>TC-003</x:v>
      </x:c>
      <x:c r="B4" s="15" t="str">
        <x:v>Public / guest</x:v>
      </x:c>
      <x:c r="C4" s="15" t="str">
        <x:v>Advertiser permit eligibility</x:v>
      </x:c>
      <x:c r="D4" s="15" t="str">
        <x:v>Eligibility + how-to</x:v>
      </x:c>
      <x:c r="E4" s="15" t="str">
        <x:v>en</x:v>
      </x:c>
      <x:c r="F4" s="15" t="str">
        <x:v>I post paid product reviews on social media. Do I need an advertiser permit and how do I apply?</x:v>
      </x:c>
      <x:c r="G4" s="15" t="str">
        <x:v>Explain likely permit relevance, basic eligibility and application steps.</x:v>
      </x:c>
      <x:c r="H4" s="15" t="str">
        <x:v>Uses cautious eligibility language; cites advertiser guide; no final legal determination.</x:v>
      </x:c>
      <x:c r="I4" s="15" t="str">
        <x:v>service_discovery</x:v>
      </x:c>
      <x:c r="J4" s="15" t="str">
        <x:v>service_discovery</x:v>
      </x:c>
      <x:c r="K4" s="15" t="str">
        <x:v>是</x:v>
      </x:c>
      <x:c r="L4" s="15" t="str">
        <x:v>knowledge</x:v>
      </x:c>
      <x:c r="M4" s="15" t="str">
        <x:v>answer</x:v>
      </x:c>
      <x:c r="N4" s="15" t="str">
        <x:v>是</x:v>
      </x:c>
      <x:c r="O4" s="15" t="str">
        <x:v>bm25, graph, vector</x:v>
      </x:c>
      <x:c r="P4" s="23" t="n">
        <x:v>32</x:v>
      </x:c>
      <x:c r="Q4" s="15" t="str">
        <x:v>knowledge.search</x:v>
      </x:c>
      <x:c r="R4" s="15" t="str">
        <x:v>是</x:v>
      </x:c>
      <x:c r="S4" s="15" t="str">
        <x:v>是</x:v>
      </x:c>
      <x:c r="T4" s="23" t="n">
        <x:v>5</x:v>
      </x:c>
      <x:c r="U4" s="23" t="n">
        <x:v>14628</x:v>
      </x:c>
      <x:c r="V4" s="15" t="str">
        <x:v>否</x:v>
      </x:c>
      <x:c r="W4" s="15" t="str">
        <x:v>根据阿联酋国家媒体委员会（NMA）的规定，**需要申请 Social Media Advertiser Permit（社交媒体广告主许可）**。
**判断依据**：  
阿联酋媒体广告法规要求，所有在阿联酋境内通过社交媒体发布广告内容的个人（公民、居民或访客），**无论是否收取报酬**，都必须先取得该许可。你发布的“付费产品评测”属于广告内容，因此适用。
**例外情况**：  
如果你是通过自己的个人账号，推广**你自己或自己公司生产的产品/服务**，则无需申请。但付费推广第三方产品/服务不在此豁免范围内。
---
### 如何申请
1. 访问 UAE Media Council 官网：  
   `https://eservices.uaemc.gov.ae`
2. 填写申请表，并上传所需文件（通常包括有效身份证件、电子媒体活动商业许可证等）。
3. 等待审核：NMA 在收到完整材料后 **3 个工作日内** 作出决定。
4. 审核通过后，以电子方式获得许可。
### 主要条件
- 年满 18 岁（15–18 岁需满足额外条件并可能需监护人参与）。
- 品行良好，无违反媒体内容标准记录，无涉及 dishonor 或 breach of trust 的犯罪记录。
- 通常需持有相关机构颁发的**电子媒体活动商业许可证**（例如自由职业、独资企业等，可在自贸区申请）。
- 无欠付 NMA 的费用。
### 有效期与费用
- 公民/居民：有效期 **1 年**，可续签。
- 访客：有效期 **3 个月**，可延长一次至最多 **6 个月**。
- 首次发证：**免费**；续签按官方标准收费（从第 4 年起有续签费用）。
---
如果需要，我可以帮你整理一份申请材料清单，或进一步说明商业许可证的获取方式。</x:v>
      </x:c>
      <x:c r="X4" s="15" t="str">
        <x:v>已通过当前 Docker 平台执行</x:v>
      </x:c>
    </x:row>
    <x:row r="5" ht="34" customHeight="1">
      <x:c r="A5" s="15" t="str">
        <x:v>TC-004</x:v>
      </x:c>
      <x:c r="B5" s="15" t="str">
        <x:v>Public / guest</x:v>
      </x:c>
      <x:c r="C5" s="15" t="str">
        <x:v>Media service comparison</x:v>
      </x:c>
      <x:c r="D5" s="15" t="str">
        <x:v>KB + guidance</x:v>
      </x:c>
      <x:c r="E5" s="15" t="str">
        <x:v>en</x:v>
      </x:c>
      <x:c r="F5" s="15" t="str">
        <x:v>What is the difference between a photography permit and an advertiser permit?</x:v>
      </x:c>
      <x:c r="G5" s="15" t="str">
        <x:v>Compare purpose, applicant/activity, typical documents and next step.</x:v>
      </x:c>
      <x:c r="H5" s="15" t="str">
        <x:v>Keeps the two services distinct; avoids inventing fees.</x:v>
      </x:c>
      <x:c r="I5" s="15" t="str">
        <x:v>service_discovery</x:v>
      </x:c>
      <x:c r="J5" s="15" t="str">
        <x:v>service_discovery</x:v>
      </x:c>
      <x:c r="K5" s="15" t="str">
        <x:v>是</x:v>
      </x:c>
      <x:c r="L5" s="15" t="str">
        <x:v>knowledge</x:v>
      </x:c>
      <x:c r="M5" s="15" t="str">
        <x:v>answer</x:v>
      </x:c>
      <x:c r="N5" s="15" t="str">
        <x:v>是</x:v>
      </x:c>
      <x:c r="O5" s="15" t="str">
        <x:v>bm25, graph, vector</x:v>
      </x:c>
      <x:c r="P5" s="23" t="n">
        <x:v>32</x:v>
      </x:c>
      <x:c r="Q5" s="15" t="str">
        <x:v>knowledge.search</x:v>
      </x:c>
      <x:c r="R5" s="15" t="str">
        <x:v>是</x:v>
      </x:c>
      <x:c r="S5" s="15" t="str">
        <x:v>是</x:v>
      </x:c>
      <x:c r="T5" s="23" t="n">
        <x:v>5</x:v>
      </x:c>
      <x:c r="U5" s="23" t="n">
        <x:v>14123</x:v>
      </x:c>
      <x:c r="V5" s="15" t="str">
        <x:v>否</x:v>
      </x:c>
      <x:c r="W5" s="15" t="str">
        <x:v>根据知识库现有资料，可以区分两者的**核心用途、法律依据与适用场景**，但知识库中没有一份文档直接对两者做逐项对比，以下基于已有证据整理：
## 一、核心区别
| 维度 | 摄影许可（Photography/Filming Permit） | 广告主许可（Advertiser Permit） |
|---|---|---|
| **管控对象** | 在境内的**拍摄/摄影行为本身**（地面、航拍、海上等） | 在社交媒体上发布的**广告/营销内容** |
| **关键目的** | 授权在特定地点/方式（地面、空中、海域）进行拍摄活动 | 规范社媒广告内容，防止误导性、不合规广告；保护公众与行业竞争 |
| **法律依据** | 知识库未详述（费用表中仅有服务名称与费用） | Decision No. (3) of 2025、Federal Decree-Law No. (55) of 2023 on Media Regulation |
| **适用主体** | 个人、商业实体、政府实体、自由区等（费用表覆盖多用户类型） | 在阿联酋境内制作广告内容的**个人**（公民、居民、访客），无论是否收费 |
## 二、具体类型与有效期
**摄影类许可**（费用表证据，费用 500 AED）：
- Ground Photography Permit — Ground Filming Permit within the Country（地表/地面摄影）
- Aerial Photography Permit — Aerial Filming Permit within the Country（航拍）
- Marine Filming Permit within the Country（境内海上拍摄）
**广告主许可**（Advertiser Guide 证据）：
- 公民/居民广告主：有效期 **1 年，可续期**
- 访客广告主：有效期 **3 个月，最多可延长至 6 个月**
## 三、简单理解
- **摄影许可**管的是"能不能在这里拍/怎么拍"（场地与拍摄方式）；
- **广告主许可**管的是"拍出来的内容能不能作为广告在社交媒体上发"（内容合规）。
两者属于不同环节：摄影许可是拍摄活动的准入，广告主许可则针对社媒广告发布行为。
---
**说明与限制**：
- 知识库未提供摄影许可的申请条件、有效期与详细规则，仅有服务名称与费用；
- 若需更精确的对比（如是否同一事件需同时申请两种许可、摄影许可的续期规则），当前知识库证据不足，建议查询官方 UMC 服务页面获取权威信息。</x:v>
      </x:c>
      <x:c r="X5" s="15" t="str">
        <x:v>已通过当前 Docker 平台执行</x:v>
      </x:c>
    </x:row>
    <x:row r="6" ht="34" customHeight="1">
      <x:c r="A6" s="15" t="str">
        <x:v>TC-005</x:v>
      </x:c>
      <x:c r="B6" s="15" t="str">
        <x:v>Public / guest</x:v>
      </x:c>
      <x:c r="C6" s="15" t="str">
        <x:v>Fees and processing time</x:v>
      </x:c>
      <x:c r="D6" s="15" t="str">
        <x:v>KB</x:v>
      </x:c>
      <x:c r="E6" s="15" t="str">
        <x:v>en</x:v>
      </x:c>
      <x:c r="F6" s="15" t="str">
        <x:v>How much does this media service cost and how long does it take?</x:v>
      </x:c>
      <x:c r="G6" s="15" t="str">
        <x:v>Identify the service first, then provide the current fee and published processing information with source.</x:v>
      </x:c>
      <x:c r="H6" s="15" t="str">
        <x:v>Does not mix service fees; identifies document version/date.</x:v>
      </x:c>
      <x:c r="I6" s="15" t="str">
        <x:v>service_fees</x:v>
      </x:c>
      <x:c r="J6" s="15" t="str">
        <x:v>service_fees</x:v>
      </x:c>
      <x:c r="K6" s="15" t="str">
        <x:v>是</x:v>
      </x:c>
      <x:c r="L6" s="15" t="str">
        <x:v>knowledge</x:v>
      </x:c>
      <x:c r="M6" s="15" t="str">
        <x:v>answer</x:v>
      </x:c>
      <x:c r="N6" s="15" t="str">
        <x:v>是</x:v>
      </x:c>
      <x:c r="O6" s="15" t="str">
        <x:v>bm25, graph, vector</x:v>
      </x:c>
      <x:c r="P6" s="23" t="n">
        <x:v>32</x:v>
      </x:c>
      <x:c r="Q6" s="15" t="str">
        <x:v>knowledge.search</x:v>
      </x:c>
      <x:c r="R6" s="15" t="str">
        <x:v>是</x:v>
      </x:c>
      <x:c r="S6" s="15" t="str">
        <x:v>是</x:v>
      </x:c>
      <x:c r="T6" s="23" t="n">
        <x:v>5</x:v>
      </x:c>
      <x:c r="U6" s="23" t="n">
        <x:v>14355</x:v>
      </x:c>
      <x:c r="V6" s="15" t="str">
        <x:v>否</x:v>
      </x:c>
      <x:c r="W6" s="15" t="str">
        <x:v>您好，我目前无法确定您指的是哪一个“媒体服务”。从当前对话中没有看到具体服务名称，因此不能给出唯一的费用和时长。根据已有资料，我可以先提供一些示例供参考（货币单位：AED）：
- **开设外国媒体办公室**（商业实体）：发行/续期均为 **3,000 AED**（来源：UMC Service Fees by-User Type）。
- **出版物印刷与文本许可**（自由区）：费用按类型浮动，例如本地印刷许可 **200 AED**、图书贸易分发 **25 AED**、外国出版物入境分发（≥10册）**15 AED**；剧本/电影/戏剧文本许可 **800 AED**，电视剧本 **500 AED** 等（来源：同上）。
- **加急服务费**（政府实体，印刷许可）：**500 AED**。
- 另有一份 **2025年内阁决议 No.(41)** 文件，列出了非自由区的媒体服务费（如影院牌照等），但当前检索到的片段不完整，未覆盖全部项目。
关于办理时长：**现有知识库中没有包含任何处理时间的信息**，我无法告知。
费用还会受用户类型、是否续期、服务条件、是否属于自由区等因素影响，建议您告诉我**具体服务名称或服务ID**，我再为您进一步核对。</x:v>
      </x:c>
      <x:c r="X6" s="15" t="str">
        <x:v>已通过当前 Docker 平台执行</x:v>
      </x:c>
    </x:row>
    <x:row r="7" ht="34" customHeight="1">
      <x:c r="A7" s="15" t="str">
        <x:v>TC-006</x:v>
      </x:c>
      <x:c r="B7" s="15" t="str">
        <x:v>Public / guest</x:v>
      </x:c>
      <x:c r="C7" s="15" t="str">
        <x:v>Media content standards</x:v>
      </x:c>
      <x:c r="D7" s="15" t="str">
        <x:v>Policy Q&amp;A</x:v>
      </x:c>
      <x:c r="E7" s="15" t="str">
        <x:v>ar</x:v>
      </x:c>
      <x:c r="F7" s="15" t="str">
        <x:v>ما هي معايير المحتوى الإعلامي للإعلان على وسائل التواصل؟</x:v>
      </x:c>
      <x:c r="G7" s="15" t="str">
        <x:v>Summarize relevant content-standard principles in Arabic and point to the official source.</x:v>
      </x:c>
      <x:c r="H7" s="15" t="str">
        <x:v>Arabic response; avoids legal conclusion; cites the standard.</x:v>
      </x:c>
      <x:c r="I7" s="15" t="str">
        <x:v>latest_regulations</x:v>
      </x:c>
      <x:c r="J7" s="15" t="str">
        <x:v>latest_regulations</x:v>
      </x:c>
      <x:c r="K7" s="15" t="str">
        <x:v>是</x:v>
      </x:c>
      <x:c r="L7" s="15" t="str">
        <x:v>knowledge</x:v>
      </x:c>
      <x:c r="M7" s="15" t="str">
        <x:v>summary</x:v>
      </x:c>
      <x:c r="N7" s="15" t="str">
        <x:v>是</x:v>
      </x:c>
      <x:c r="O7" s="15" t="str">
        <x:v>bm25, graph, vector</x:v>
      </x:c>
      <x:c r="P7" s="23" t="n">
        <x:v>32</x:v>
      </x:c>
      <x:c r="Q7" s="15" t="str">
        <x:v>knowledge.search</x:v>
      </x:c>
      <x:c r="R7" s="15" t="str">
        <x:v>是</x:v>
      </x:c>
      <x:c r="S7" s="15" t="str">
        <x:v>是</x:v>
      </x:c>
      <x:c r="T7" s="23" t="n">
        <x:v>5</x:v>
      </x:c>
      <x:c r="U7" s="23" t="n">
        <x:v>20680</x:v>
      </x:c>
      <x:c r="V7" s="15" t="str">
        <x:v>否</x:v>
      </x:c>
      <x:c r="W7" s="15" t="str">
        <x:v>وفقًا للمادة (33) من القرار Cabinet Resolution No. (68) of 2024 — اللائحة التنفيذية للمرسوم بقانون اتحادي رقم (55) لسنة 2023 بشأن تنظيم الإعلام، تخضع الإعلانات — ومنها إعلانات وسائل التواصل — للضوابط التالية:
1. **الوضوح والصدق**  
   - ألّا تكون الإعلانات غامضة أو غير واضحة أو ناقصة الدلالة.  
   - ألّا تتضمن ادعاءات غير صحيحة أو مضللة، أو مبالغات، أو ادعاءات بالحصرية، أو انتقاصًا من المنافسين، أو ما يُعد احتيالًا أو خداعًا.
2. **عدم استخدام علامات مزورة أو مقلدة**  
   - يُمنع استخدام إشارات أو رموز أو صور مزورة أو مقلدة أو مستخدمة بشكل غير قانوني.
3. **عدم التسبب في الخلط**  
   - يجب أن تكون الإعلانات واقعية وغير مبالغ فيها، وألّا تسبب التباسًا أو غموضًا مع أسماء أو منتجات أو أنشطة أخرى.
4. **عدم مخالفة مبادئ المحتوى الإعلامي والتصنيف العمري**  
   - ألّا تتضمن أي نشاط إجرامي، وألّا تخالف معايير المحتوى الإعلامي ونظام التصنيف العمري المعتمد.
5. **التمييز الواضح عن المحتوى التحريري**  
   - يجب أن يكون الإعلان محددًا بوضوح ومنفصلًا عن المحتوى الإعلامي/التحريري، مع وجود حدود واضحة تفصله عن المواد أو الأوقات الأخرى عند البث.
6. **الإفصاح عن العلاقة التجارية**  
   - إذا أشار الإعلان إلى أن المعلن يروّج لمنتج أو خدمة معينة، يجب الإفصاح بوضوح عن أي عائد مالي يحصل عليه بسبب علاقة تجارية مع مالك المنتج أو الخدمة.
7. **احترام رموز الدولة**  
   - الالتزام بالضوابط المتعلقة باستخدام علم الدولة وشعاراتها ورموزها ونشيدها الوطني.
8. **منتجات محظورة**  
   - يُمنع الترويج للمشروبات الكحولية، أو المواد المخدرة المحظورة، أو التبغ، أو التدخين بأي شكل من الأشكال، سواء بشكل مباشر أو غير مباشر.
9. **موافقات مسبقة من جهات مختصة**  
   - يجب الحصول على موافقة الجهة المختصة في إعلانات:
     - العقارات.
     - المنتجات الطبية والعيادات والمستشفيات والخدمات الصحية أو الدوائية.
     - الأوراق المالية والخدمات المالية.
     - الخدمات التعليمية.
     - الإعلانات الغذائية.
     - أي إعلانات أخرى تحددها هيئة الإعلام أو الجهة المختصة.
بالإضافة إلى ذلك، يجب الالتزام بمعايير المحتوى الإعلامي العامة (المادة 28 من اللائحة التنفيذية والمادة 17 من المرسوم بقانون)، ومنها: احترام ثقافة الدولة وهويتها وقيمها، مراعاة حقوق الأطفال، وعدم تمجيد الجماعات ذات التوجهات الهدامة.
هذه معلومات عامة من مصادر تنظيمية متاحة، وليست تقييمًا لحساب أو إعلان معيّن. إذا كنت بحاجة لتقييم محتوى إعلاني محدد،</x:v>
      </x:c>
      <x:c r="X7" s="15" t="str">
        <x:v>已通过当前 Docker 平台执行</x:v>
      </x:c>
    </x:row>
    <x:row r="8" ht="34" customHeight="1">
      <x:c r="A8" s="15" t="str">
        <x:v>TC-007</x:v>
      </x:c>
      <x:c r="B8" s="15" t="str">
        <x:v>Public / guest</x:v>
      </x:c>
      <x:c r="C8" s="15" t="str">
        <x:v>Regulation version check</x:v>
      </x:c>
      <x:c r="D8" s="15" t="str">
        <x:v>Policy Q&amp;A</x:v>
      </x:c>
      <x:c r="E8" s="15" t="str">
        <x:v>en</x:v>
      </x:c>
      <x:c r="F8" s="15" t="str">
        <x:v>Which media regulation currently applies to this permit, and has a newer version been issued?</x:v>
      </x:c>
      <x:c r="G8" s="15" t="str">
        <x:v>Identify the applicable regulation and flag any newer or pending version.</x:v>
      </x:c>
      <x:c r="H8" s="15" t="str">
        <x:v>Shows effective date/version; does not present superseded text as current.</x:v>
      </x:c>
      <x:c r="I8" s="15" t="str">
        <x:v>latest_regulations</x:v>
      </x:c>
      <x:c r="J8" s="15" t="str">
        <x:v>latest_regulations</x:v>
      </x:c>
      <x:c r="K8" s="15" t="str">
        <x:v>是</x:v>
      </x:c>
      <x:c r="L8" s="15" t="str">
        <x:v>knowledge</x:v>
      </x:c>
      <x:c r="M8" s="15" t="str">
        <x:v>summary</x:v>
      </x:c>
      <x:c r="N8" s="15" t="str">
        <x:v>是</x:v>
      </x:c>
      <x:c r="O8" s="15" t="str">
        <x:v>bm25, graph, vector</x:v>
      </x:c>
      <x:c r="P8" s="23" t="n">
        <x:v>32</x:v>
      </x:c>
      <x:c r="Q8" s="15" t="str">
        <x:v>knowledge.search</x:v>
      </x:c>
      <x:c r="R8" s="15" t="str">
        <x:v>是</x:v>
      </x:c>
      <x:c r="S8" s="15" t="str">
        <x:v>是</x:v>
      </x:c>
      <x:c r="T8" s="23" t="n">
        <x:v>5</x:v>
      </x:c>
      <x:c r="U8" s="23" t="n">
        <x:v>15749</x:v>
      </x:c>
      <x:c r="V8" s="15" t="str">
        <x:v>否</x:v>
      </x:c>
      <x:c r="W8" s="15" t="str">
        <x:v>Based on the knowledge base (files under `/umc`):
- **Currently applicable regulation**:  
  For a media permit (as defined in **Federal Decree-Law No. (55) of 2023 Regulating Media**, Article 1 – a permission issued by the UAE Media Council or the Competent Authority to practice a specific media activity for a specific period), the governing framework is:
  1. **Federal Decree-Law No. (55) of 2023 Regulating Media**
  2. **Cabinet Resolution No. (68) of 2024** regarding the Executive Regulation for the above law
- **Newer version?**  
  The knowledge base also contains **Cabinet Resolution No. (41) of 2025 Regarding Media Services Fees**, but this is a **fees regulation**, not a replacement or newer version of the media regulation itself.  
  No newer version of the media law/executive regulation was found in the indexed documents. However, the knowledge base may not be exhaustive – please verify against official UAE sources for the latest status.
If you provide the specific permit details, I can give a more targeted answer.</x:v>
      </x:c>
      <x:c r="X8" s="15" t="str">
        <x:v>已通过当前 Docker 平台执行</x:v>
      </x:c>
    </x:row>
    <x:row r="9" ht="34" customHeight="1">
      <x:c r="A9" s="15" t="str">
        <x:v>TC-008</x:v>
      </x:c>
      <x:c r="B9" s="15" t="str">
        <x:v>Public / guest</x:v>
      </x:c>
      <x:c r="C9" s="15" t="str">
        <x:v>Copyright guidance</x:v>
      </x:c>
      <x:c r="D9" s="15" t="str">
        <x:v>Policy Q&amp;A</x:v>
      </x:c>
      <x:c r="E9" s="15" t="str">
        <x:v>en</x:v>
      </x:c>
      <x:c r="F9" s="15" t="str">
        <x:v>Can I use a photograph from the internet in my commercial campaign?</x:v>
      </x:c>
      <x:c r="G9" s="15" t="str">
        <x:v>Explain that permission/rights may be required and direct the user to relevant copyright guidance.</x:v>
      </x:c>
      <x:c r="H9" s="15" t="str">
        <x:v>Does not grant legal clearance; distinguishes guidance from legal advice.</x:v>
      </x:c>
      <x:c r="I9" s="15" t="str">
        <x:v>copyright_guidance</x:v>
      </x:c>
      <x:c r="J9" s="15" t="str">
        <x:v>copyright_guidance</x:v>
      </x:c>
      <x:c r="K9" s="15" t="str">
        <x:v>是</x:v>
      </x:c>
      <x:c r="L9" s="15" t="str">
        <x:v>knowledge</x:v>
      </x:c>
      <x:c r="M9" s="15" t="str">
        <x:v>summary</x:v>
      </x:c>
      <x:c r="N9" s="15" t="str">
        <x:v>是</x:v>
      </x:c>
      <x:c r="O9" s="15" t="str">
        <x:v>bm25, graph, vector</x:v>
      </x:c>
      <x:c r="P9" s="23" t="n">
        <x:v>32</x:v>
      </x:c>
      <x:c r="Q9" s="15" t="str">
        <x:v>knowledge.search</x:v>
      </x:c>
      <x:c r="R9" s="15" t="str">
        <x:v>是</x:v>
      </x:c>
      <x:c r="S9" s="15" t="str">
        <x:v>是</x:v>
      </x:c>
      <x:c r="T9" s="23" t="n">
        <x:v>5</x:v>
      </x:c>
      <x:c r="U9" s="23" t="n">
        <x:v>12083</x:v>
      </x:c>
      <x:c r="V9" s="15" t="str">
        <x:v>否</x:v>
      </x:c>
      <x:c r="W9" s="15" t="str">
        <x:v>根据现有知识库，**没有直接规定“互联网照片能否用于商业广告”的条款**——这本质上是版权问题，UMC（统一媒体委员会）许可与版权授权是两套体系。我按两部分说明：
## 1. 版权层面（需自行确认）
- 互联网上的照片通常受版权保护，除非照片明确标注 **CC0/公有领域** 或图库明确允许商业使用，否则**需要获得摄影师/版权所有者的书面授权**。
- 知识库中无版权判定或授权流程的文档，我无法替你判断某张照片是否可用；建议保留授权凭证。
## 2. UMC 许可层面（有明确依据）
如果你的商业活动属于“设计和制作广告内容”，商业实体（UserTypeId=2）需要申请：
| 服务 | 费用（首次） | 续期 |
|---|---|---|
| Issuing License for designing and producing advertising content（设计和制作广告内容许可） | **5,000 迪拉姆** | 2,500 迪拉姆 |
&gt; 引用来源：UMC Service Fees by-User Type 文件，服务编号 36（首次）/ 464（续期）。
## 建议下一步
1. 先确认照片来源授权（联系版权方或改用明确可商用的图库）。
2. 若你的广告投放发生在 UMC 管辖范围内，通过 UMC 平台申请上述“设计和制作广告内容许可”。
请提供更多信息（投放国家/地区、广告形式、照片用途、你所在的用户类型），我可以帮你确认是否还需要其他媒体许可（如电影预告片、海报展示许可等）。</x:v>
      </x:c>
      <x:c r="X9" s="15" t="str">
        <x:v>已通过当前 Docker 平台执行</x:v>
      </x:c>
    </x:row>
    <x:row r="10" ht="34" customHeight="1">
      <x:c r="A10" s="15" t="str">
        <x:v>TC-009</x:v>
      </x:c>
      <x:c r="B10" s="15" t="str">
        <x:v>Public / guest</x:v>
      </x:c>
      <x:c r="C10" s="15" t="str">
        <x:v>Child digital safety</x:v>
      </x:c>
      <x:c r="D10" s="15" t="str">
        <x:v>Policy Q&amp;A</x:v>
      </x:c>
      <x:c r="E10" s="15" t="str">
        <x:v>en</x:v>
      </x:c>
      <x:c r="F10" s="15" t="str">
        <x:v>What should a media platform consider when content may be seen by children?</x:v>
      </x:c>
      <x:c r="G10" s="15" t="str">
        <x:v>Summarize relevant child-safety obligations and point to the official legislation.</x:v>
      </x:c>
      <x:c r="H10" s="15" t="str">
        <x:v>Uses source-backed language; does not conflate child-safety laws with permit status.</x:v>
      </x:c>
      <x:c r="I10" s="15" t="str">
        <x:v>latest_regulations</x:v>
      </x:c>
      <x:c r="J10" s="15" t="str">
        <x:v>latest_regulations</x:v>
      </x:c>
      <x:c r="K10" s="15" t="str">
        <x:v>是</x:v>
      </x:c>
      <x:c r="L10" s="15" t="str">
        <x:v>knowledge</x:v>
      </x:c>
      <x:c r="M10" s="15" t="str">
        <x:v>summary</x:v>
      </x:c>
      <x:c r="N10" s="15" t="str">
        <x:v>是</x:v>
      </x:c>
      <x:c r="O10" s="15" t="str">
        <x:v>bm25, graph, vector</x:v>
      </x:c>
      <x:c r="P10" s="23" t="n">
        <x:v>32</x:v>
      </x:c>
      <x:c r="Q10" s="15" t="str">
        <x:v>knowledge.search</x:v>
      </x:c>
      <x:c r="R10" s="15" t="str">
        <x:v>是</x:v>
      </x:c>
      <x:c r="S10" s="15" t="str">
        <x:v>是</x:v>
      </x:c>
      <x:c r="T10" s="23" t="n">
        <x:v>5</x:v>
      </x:c>
      <x:c r="U10" s="23" t="n">
        <x:v>9032</x:v>
      </x:c>
      <x:c r="V10" s="15" t="str">
        <x:v>否</x:v>
      </x:c>
      <x:c r="W10" s="15" t="str">
        <x:v>根据知识库中的阿联酋法律法规，媒体平台在内容可能被儿童看到时，应重点考虑以下合规要求：
---
### 1. 遵守“媒体内容标准”
- 内容必须符合 **联邦法令第(55)号/2023年《媒体监管法》** 及其实施条例中规定的媒体内容原则和监管控制措施。
- 该标准适用于所有媒体活动，包括制作、广播、出版、分发（印刷、视觉或数字形式），以及相关广告、艺术作品和电子出版。
### 2. 采用“年龄分级系统”
- 阿联酋媒体委员会（UAE Media Council）与主管机构协调，发布了一套 **年龄分级系统（Age Rating System）**，用于评估媒体内容对不同年龄段的适宜性。
- 平台应依据此系统对内容进行分级和标示，确保儿童不接触不适宜内容。
### 3. 防止“有害内容”
- 依据 **联邦法令第(26)号/2025年《儿童数字安全法》**，“有害内容”指任何可读、可听、可视或数字形式的内容，可能对儿童的道德、心理或社会价值观产生负面影响，并违反媒体内容标准。
- 平台需主动识别、限制或移除此类内容，尤其当受众可能包含儿童时。
### 4. 儿童定向电子广告的限制
- 该法对“定向电子广告”有专门定义——即基于儿童行为、偏好、兴趣或在线活动收集或处理个人数据，以向儿童推送定制化广告。
- 平台应避免向儿童进行未经授权的数据画像和定向广告，除非符合法律允许的条件。
### 5. 建立平台责任机制
- 数字平台作为向公众提供内容或服务的电子手段，需要履行内容审核、报告和协作义务，配合主管机构（如TDRA、媒体委员会、儿童数字安全委员会）的调查和执法要求。
---
### ⚠️ 说明
- 以上基于知识库现有文件内容和定义片段，仅列出关键考量点，并非法律全文或穷尽所有义务。
- 具体操作层面（如内容审核流程、技术措施、举报机制）建议咨询阿联酋媒体委员会或法律专业人士。
如需针对某一法律条款进一步解读，请告知具体方向。</x:v>
      </x:c>
      <x:c r="X10" s="15" t="str">
        <x:v>已通过当前 Docker 平台执行</x:v>
      </x:c>
    </x:row>
    <x:row r="11" ht="34" customHeight="1">
      <x:c r="A11" s="15" t="str">
        <x:v>TC-010</x:v>
      </x:c>
      <x:c r="B11" s="15" t="str">
        <x:v>Public / guest</x:v>
      </x:c>
      <x:c r="C11" s="15" t="str">
        <x:v>Unknown service/policy</x:v>
      </x:c>
      <x:c r="D11" s="15" t="str">
        <x:v>Fallback + guidance</x:v>
      </x:c>
      <x:c r="E11" s="15" t="str">
        <x:v>en</x:v>
      </x:c>
      <x:c r="F11" s="15" t="str">
        <x:v>I need a permit for a very specific media activity that is not listed. What should I do?</x:v>
      </x:c>
      <x:c r="G11" s="15" t="str">
        <x:v>Acknowledge uncertainty, show closest official services and direct the user to an authoritative enquiry route.</x:v>
      </x:c>
      <x:c r="H11" s="15" t="str">
        <x:v>No hallucinated service; preserves user progress; offers escalation.</x:v>
      </x:c>
      <x:c r="I11" s="15" t="str">
        <x:v>service_discovery</x:v>
      </x:c>
      <x:c r="J11" s="15" t="str">
        <x:v>service_discovery</x:v>
      </x:c>
      <x:c r="K11" s="15" t="str">
        <x:v>是</x:v>
      </x:c>
      <x:c r="L11" s="15" t="str">
        <x:v>knowledge</x:v>
      </x:c>
      <x:c r="M11" s="15" t="str">
        <x:v>answer</x:v>
      </x:c>
      <x:c r="N11" s="15" t="str">
        <x:v>是</x:v>
      </x:c>
      <x:c r="O11" s="15" t="str">
        <x:v>bm25, graph, vector</x:v>
      </x:c>
      <x:c r="P11" s="23" t="n">
        <x:v>32</x:v>
      </x:c>
      <x:c r="Q11" s="15" t="str">
        <x:v>knowledge.search</x:v>
      </x:c>
      <x:c r="R11" s="15" t="str">
        <x:v>是</x:v>
      </x:c>
      <x:c r="S11" s="15" t="str">
        <x:v>是</x:v>
      </x:c>
      <x:c r="T11" s="23" t="n">
        <x:v>5</x:v>
      </x:c>
      <x:c r="U11" s="23" t="n">
        <x:v>7755</x:v>
      </x:c>
      <x:c r="V11" s="15" t="str">
        <x:v>否</x:v>
      </x:c>
      <x:c r="W11" s="15" t="str">
        <x:v>Based on the knowledge base I searched, I couldn't find a specific procedure for handling media activities that are not listed in the available permit/service catalog. The available documents only list predefined permit types and fees (e.g., Media License, Circulation Media Material Permit, etc.) — there is no “miscellaneous” or “custom activity” option recorded.
Here’s what I can suggest, without inventing any official process:
1. **Review the existing categories again** – Sometimes an activity may fall under a broader permit (e.g., electronic/digital media platforms, advertising content, etc.) even if it seems niche. Search the catalog using keywords related to your activity.
2. **Contact the licensing authority directly** – The most reliable next step is to ask the Unified Media Center (UMC) or the relevant media regulator whether your specific activity can be covered by an existing permit or if a special case/approval is needed.
3. **Provide more details** – If you share the exact nature of the media activity, I can search again more specifically. The knowledge base does include many subcategories; there may be a match you haven’t found yet.
I cannot confirm any specific procedure, fee, or guarantee of approval because the available data does not contain that information.</x:v>
      </x:c>
      <x:c r="X11" s="15" t="str">
        <x:v>已通过当前 Docker 平台执行</x:v>
      </x:c>
    </x:row>
    <x:row r="12" ht="34" customHeight="1">
      <x:c r="A12" s="15" t="str">
        <x:v>TC-011</x:v>
      </x:c>
      <x:c r="B12" s="15" t="str">
        <x:v>Customer / signed in</x:v>
      </x:c>
      <x:c r="C12" s="15" t="str">
        <x:v>Profile under review</x:v>
      </x:c>
      <x:c r="D12" s="15" t="str">
        <x:v>Workflow</x:v>
      </x:c>
      <x:c r="E12" s="15" t="str">
        <x:v>en</x:v>
      </x:c>
      <x:c r="F12" s="15" t="str">
        <x:v>My profile is under review. Can I start a new application?</x:v>
      </x:c>
      <x:c r="G12" s="15" t="str">
        <x:v>Read the profile state and explain whether a new application is allowed or what must be completed first.</x:v>
      </x:c>
      <x:c r="H12" s="15" t="str">
        <x:v>Uses current profile; distinguishes guidance from an action; gives next step.</x:v>
      </x:c>
      <x:c r="I12" s="15" t="str">
        <x:v>profile_status</x:v>
      </x:c>
      <x:c r="J12" s="15" t="str">
        <x:v>profile_status</x:v>
      </x:c>
      <x:c r="K12" s="15" t="str">
        <x:v>是</x:v>
      </x:c>
      <x:c r="L12" s="15" t="str">
        <x:v>data_query</x:v>
      </x:c>
      <x:c r="M12" s="15" t="str">
        <x:v>collect</x:v>
      </x:c>
      <x:c r="N12" s="15" t="str">
        <x:v>否</x:v>
      </x:c>
      <x:c r="O12" s="15" t="str"/>
      <x:c r="P12" s="23" t="str"/>
      <x:c r="Q12" s="15" t="str"/>
      <x:c r="R12" s="15" t="str">
        <x:v>否</x:v>
      </x:c>
      <x:c r="S12" s="15" t="str">
        <x:v>是</x:v>
      </x:c>
      <x:c r="T12" s="23" t="n">
        <x:v>5</x:v>
      </x:c>
      <x:c r="U12" s="23" t="n">
        <x:v>4960</x:v>
      </x:c>
      <x:c r="V12" s="15" t="str">
        <x:v>否</x:v>
      </x:c>
      <x:c r="W12" s="15" t="str">
        <x:v>您好，按照流程要求，开始新申请前需要先确认您是否拥有**已批准的 profile**。您现在资料仍在审核中，通常意味着还没有可用的已批准 profile，因此可能无法直接新建申请。
请提供以下任一信息，以便进一步确认：
- 选择您的 profile 类型：**Individual** 或 **Business**
- 或直接提供 **profile ID**
如果您目前没有已批准的 profile，建议先等待审核完成。请注意：此确认不构成资格结论，具体以系统审核结果为准。</x:v>
      </x:c>
      <x:c r="X12" s="15" t="str">
        <x:v>已通过当前 Docker 平台执行</x:v>
      </x:c>
    </x:row>
    <x:row r="13" ht="34" customHeight="1">
      <x:c r="A13" s="15" t="str">
        <x:v>TC-012</x:v>
      </x:c>
      <x:c r="B13" s="15" t="str">
        <x:v>Customer / signed in</x:v>
      </x:c>
      <x:c r="C13" s="15" t="str">
        <x:v>Eligible services</x:v>
      </x:c>
      <x:c r="D13" s="15" t="str">
        <x:v>Workflow</x:v>
      </x:c>
      <x:c r="E13" s="15" t="str">
        <x:v>en</x:v>
      </x:c>
      <x:c r="F13" s="15" t="str">
        <x:v>Which services am I eligible to apply for under my current profile?</x:v>
      </x:c>
      <x:c r="G13" s="15" t="str">
        <x:v>Retrieve eligible services and explain any missing profile requirements.</x:v>
      </x:c>
      <x:c r="H13" s="15" t="str">
        <x:v>Uses the signed-in user only; lists eligibility basis; no unsupported guarantee.</x:v>
      </x:c>
      <x:c r="I13" s="15" t="str">
        <x:v>service_eligibility</x:v>
      </x:c>
      <x:c r="J13" s="15" t="str">
        <x:v>service_eligibility</x:v>
      </x:c>
      <x:c r="K13" s="15" t="str">
        <x:v>是</x:v>
      </x:c>
      <x:c r="L13" s="15" t="str">
        <x:v>data_query</x:v>
      </x:c>
      <x:c r="M13" s="15" t="str">
        <x:v>collect</x:v>
      </x:c>
      <x:c r="N13" s="15" t="str">
        <x:v>否</x:v>
      </x:c>
      <x:c r="O13" s="15" t="str"/>
      <x:c r="P13" s="23" t="str"/>
      <x:c r="Q13" s="15" t="str"/>
      <x:c r="R13" s="15" t="str">
        <x:v>否</x:v>
      </x:c>
      <x:c r="S13" s="15" t="str">
        <x:v>是</x:v>
      </x:c>
      <x:c r="T13" s="23" t="n">
        <x:v>5</x:v>
      </x:c>
      <x:c r="U13" s="23" t="n">
        <x:v>5914</x:v>
      </x:c>
      <x:c r="V13" s="15" t="str">
        <x:v>否</x:v>
      </x:c>
      <x:c r="W13" s="15" t="str">
        <x:v>您好！要判断您当前 profile 下可申请的服务，我需要先了解以下信息：
- **profile_id**：您的个人资料 ID  
- **account_type**：账户类型，可选（Individual / Commercial / Government）  
- **media_activity**：您的媒体业务活动描述  
请提供这些信息，我将为您筛选可申请的服务。注意：筛选结果仅为候选服务，不构成最终资格结论。</x:v>
      </x:c>
      <x:c r="X13" s="15" t="str">
        <x:v>已通过当前 Docker 平台执行</x:v>
      </x:c>
    </x:row>
    <x:row r="14" ht="34" customHeight="1">
      <x:c r="A14" s="15" t="str">
        <x:v>TC-013</x:v>
      </x:c>
      <x:c r="B14" s="15" t="str">
        <x:v>Customer / signed in</x:v>
      </x:c>
      <x:c r="C14" s="15" t="str">
        <x:v>Pending payment</x:v>
      </x:c>
      <x:c r="D14" s="15" t="str">
        <x:v>Workflow</x:v>
      </x:c>
      <x:c r="E14" s="15" t="str">
        <x:v>en</x:v>
      </x:c>
      <x:c r="F14" s="15" t="str">
        <x:v>My application is showing as Pending Payment. What should I do next?</x:v>
      </x:c>
      <x:c r="G14" s="15" t="str">
        <x:v>Read the application/payment state and guide the user to the secure payment page.</x:v>
      </x:c>
      <x:c r="H14" s="15" t="str">
        <x:v>Correct application; no payment performed by the assistant.</x:v>
      </x:c>
      <x:c r="I14" s="15" t="str">
        <x:v>application_payment</x:v>
      </x:c>
      <x:c r="J14" s="15" t="str">
        <x:v>application_payment</x:v>
      </x:c>
      <x:c r="K14" s="15" t="str">
        <x:v>是</x:v>
      </x:c>
      <x:c r="L14" s="15" t="str">
        <x:v>data_query</x:v>
      </x:c>
      <x:c r="M14" s="15" t="str">
        <x:v>collect</x:v>
      </x:c>
      <x:c r="N14" s="15" t="str">
        <x:v>否</x:v>
      </x:c>
      <x:c r="O14" s="15" t="str"/>
      <x:c r="P14" s="23" t="str"/>
      <x:c r="Q14" s="15" t="str">
        <x:v>umc.applications</x:v>
      </x:c>
      <x:c r="R14" s="15" t="str">
        <x:v>是</x:v>
      </x:c>
      <x:c r="S14" s="15" t="str">
        <x:v>是</x:v>
      </x:c>
      <x:c r="T14" s="23" t="n">
        <x:v>5</x:v>
      </x:c>
      <x:c r="U14" s="23" t="n">
        <x:v>5872</x:v>
      </x:c>
      <x:c r="V14" s="15" t="str">
        <x:v>否</x:v>
      </x:c>
      <x:c r="W14" s="15" t="str">
        <x:v>根据系统查询结果，您当前共有 **3 笔申请处于 Pending Payment（待支付）** 状态：
| 申请编号 | 服务名称 | 类型 | 应付金额 |
|---|---|---|---|
| APP-2026-000002 | Book Circulation Permit（图书流通许可） | 新申请 | 275 AED |
| APP-2026-000008 | Media Event Permit（媒体活动许可） | 新申请 | 650 AED |
| APP-2026-000012 | Digital News Platform License（数字新闻平台许可） | 续期 | 950 AED |
**下一步操作：**
请回复您要继续支付的 **申请编号**（例如 `APP-2026-000002`）。我会为您生成支付预览，并在您确认后再执行支付操作。
如果以上不是您要处理的申请，请提供更多信息（如申请编号或服务名称），以便进一步核对。</x:v>
      </x:c>
      <x:c r="X14" s="15" t="str">
        <x:v>已通过当前 Docker 平台执行</x:v>
      </x:c>
    </x:row>
    <x:row r="15" ht="34" customHeight="1">
      <x:c r="A15" s="15" t="str">
        <x:v>TC-014</x:v>
      </x:c>
      <x:c r="B15" s="15" t="str">
        <x:v>Customer / signed in</x:v>
      </x:c>
      <x:c r="C15" s="15" t="str">
        <x:v>Application status</x:v>
      </x:c>
      <x:c r="D15" s="15" t="str">
        <x:v>Workflow</x:v>
      </x:c>
      <x:c r="E15" s="15" t="str">
        <x:v>en</x:v>
      </x:c>
      <x:c r="F15" s="15" t="str">
        <x:v>Can you check the latest status of my application?</x:v>
      </x:c>
      <x:c r="G15" s="15" t="str">
        <x:v>Retrieve the latest status, timestamp and next required action.</x:v>
      </x:c>
      <x:c r="H15" s="15" t="str">
        <x:v>Uses current user data; reports freshness; handles multiple records.</x:v>
      </x:c>
      <x:c r="I15" s="15" t="str">
        <x:v>application_status</x:v>
      </x:c>
      <x:c r="J15" s="15" t="str">
        <x:v>application_status</x:v>
      </x:c>
      <x:c r="K15" s="15" t="str">
        <x:v>是</x:v>
      </x:c>
      <x:c r="L15" s="15" t="str">
        <x:v>data_query</x:v>
      </x:c>
      <x:c r="M15" s="15" t="str">
        <x:v>answer</x:v>
      </x:c>
      <x:c r="N15" s="15" t="str">
        <x:v>否</x:v>
      </x:c>
      <x:c r="O15" s="15" t="str"/>
      <x:c r="P15" s="23" t="str"/>
      <x:c r="Q15" s="15" t="str">
        <x:v>umc.applications</x:v>
      </x:c>
      <x:c r="R15" s="15" t="str">
        <x:v>是</x:v>
      </x:c>
      <x:c r="S15" s="15" t="str">
        <x:v>是</x:v>
      </x:c>
      <x:c r="T15" s="23" t="n">
        <x:v>5</x:v>
      </x:c>
      <x:c r="U15" s="23" t="n">
        <x:v>11756</x:v>
      </x:c>
      <x:c r="V15" s="15" t="str">
        <x:v>否</x:v>
      </x:c>
      <x:c r="W15" s="15" t="str">
        <x:v>I checked your applications. Since no application number was provided, here is the latest application and a summary of your records.
**Latest application:**
- **APP-2026-000001** – Media Establishment License (New)  
- **Status:** Draft  
- **Created:** 2026-07-25  
**Overall summary (12 total):**
- Draft: 3  
- Submitted: 3  
- Pending Payment: 3  
- Completed: 3  
**Most recent applications:**
1. APP-2026-000001 – Media Establishment License – Draft – 2026-07-25  
2. APP-2026-000002 – Book Circulation Permit – Pending Payment (AED 275) – 2026-07-22  
3. APP-2026-000003 – Media Event Permit – Submitted (AED 500) – 2026-07-18  
4. APP-2026-000004 – Media Establishment License – Completed – 2026-06-05  
5. APP-2026-000005 – Newspaper Circulation Permit – Submitted (AED 350) – 2026-06-01  
If you need details for a specific application, please provide the application number.</x:v>
      </x:c>
      <x:c r="X15" s="15" t="str">
        <x:v>已通过当前 Docker 平台执行</x:v>
      </x:c>
    </x:row>
    <x:row r="16" ht="34" customHeight="1">
      <x:c r="A16" s="15" t="str">
        <x:v>TC-015</x:v>
      </x:c>
      <x:c r="B16" s="15" t="str">
        <x:v>Customer / signed in</x:v>
      </x:c>
      <x:c r="C16" s="15" t="str">
        <x:v>Issued permit download</x:v>
      </x:c>
      <x:c r="D16" s="15" t="str">
        <x:v>Workflow</x:v>
      </x:c>
      <x:c r="E16" s="15" t="str">
        <x:v>en</x:v>
      </x:c>
      <x:c r="F16" s="15" t="str">
        <x:v>Where can I download my issued permit?</x:v>
      </x:c>
      <x:c r="G16" s="15" t="str">
        <x:v>Locate the issued permit and provide the correct download/page route.</x:v>
      </x:c>
      <x:c r="H16" s="15" t="str">
        <x:v>Checks issued status; does not expose another user's document.</x:v>
      </x:c>
      <x:c r="I16" s="15" t="str">
        <x:v>permit_download</x:v>
      </x:c>
      <x:c r="J16" s="15" t="str">
        <x:v>permit_download</x:v>
      </x:c>
      <x:c r="K16" s="15" t="str">
        <x:v>是</x:v>
      </x:c>
      <x:c r="L16" s="15" t="str">
        <x:v>api_call</x:v>
      </x:c>
      <x:c r="M16" s="15" t="str">
        <x:v>collect</x:v>
      </x:c>
      <x:c r="N16" s="15" t="str">
        <x:v>否</x:v>
      </x:c>
      <x:c r="O16" s="15" t="str"/>
      <x:c r="P16" s="23" t="str"/>
      <x:c r="Q16" s="15" t="str"/>
      <x:c r="R16" s="15" t="str">
        <x:v>否</x:v>
      </x:c>
      <x:c r="S16" s="15" t="str">
        <x:v>是</x:v>
      </x:c>
      <x:c r="T16" s="23" t="n">
        <x:v>5</x:v>
      </x:c>
      <x:c r="U16" s="23" t="n">
        <x:v>3848</x:v>
      </x:c>
      <x:c r="V16" s="15" t="str">
        <x:v>否</x:v>
      </x:c>
      <x:c r="W16" s="15" t="str">
        <x:v>您可以通过以下方式下载已签发的许可证/permit，但**根据流程要求，下载前需要先选择具体许可证，并在下载前再次确认**。
### 操作步骤
1. **提供许可证编号（license_id）**  
   请在回复中告知您要下载的许可证编号，例如：`LIC-2025-001234`。  
   （如果您不确定编号，请提供关联的申请号或您的账户信息，以便我协助查询。）
2. **我为您展示许可证概要**  
   我会先为您列出该许可证的关键信息（如类型、签发日期、有效期），让您确认是否为要下载的文件。
3. **您确认下载**  
   在您明确表示“确认下载”后，我才会为您生成下载链接或指导您从官方渠道获取文件。
---
⚠️ **说明**  
- 我无法直接提供下载文件本身，只能指导您通过官方渠道获取。  
- 若您尚未签发许可证，请先完成签发流程，再进行下载。  
- 出于安全与隐私考虑，我不会在未确认前调用任何下载接口或操作您的账户。
请提供 **license_id**，我们开始第一步。</x:v>
      </x:c>
      <x:c r="X16" s="15" t="str">
        <x:v>已通过当前 Docker 平台执行</x:v>
      </x:c>
    </x:row>
    <x:row r="17" ht="34" customHeight="1">
      <x:c r="A17" s="15" t="str">
        <x:v>TC-016</x:v>
      </x:c>
      <x:c r="B17" s="15" t="str">
        <x:v>Customer / signed in</x:v>
      </x:c>
      <x:c r="C17" s="15" t="str">
        <x:v>Payment receipt</x:v>
      </x:c>
      <x:c r="D17" s="15" t="str">
        <x:v>Workflow</x:v>
      </x:c>
      <x:c r="E17" s="15" t="str">
        <x:v>en</x:v>
      </x:c>
      <x:c r="F17" s="15" t="str">
        <x:v>Was my latest payment successful, and where can I find the receipt?</x:v>
      </x:c>
      <x:c r="G17" s="15" t="str">
        <x:v>Verify the latest payment and direct the user to receipt/payment history.</x:v>
      </x:c>
      <x:c r="H17" s="15" t="str">
        <x:v>Matches the latest transaction; distinguishes pending/failed/successful.</x:v>
      </x:c>
      <x:c r="I17" s="15" t="str">
        <x:v>payment_receipt</x:v>
      </x:c>
      <x:c r="J17" s="15" t="str">
        <x:v>payment_receipt</x:v>
      </x:c>
      <x:c r="K17" s="15" t="str">
        <x:v>是</x:v>
      </x:c>
      <x:c r="L17" s="15" t="str">
        <x:v>api_call</x:v>
      </x:c>
      <x:c r="M17" s="15" t="str">
        <x:v>collect</x:v>
      </x:c>
      <x:c r="N17" s="15" t="str">
        <x:v>否</x:v>
      </x:c>
      <x:c r="O17" s="15" t="str"/>
      <x:c r="P17" s="23" t="str"/>
      <x:c r="Q17" s="15" t="str"/>
      <x:c r="R17" s="15" t="str">
        <x:v>否</x:v>
      </x:c>
      <x:c r="S17" s="15" t="str">
        <x:v>是</x:v>
      </x:c>
      <x:c r="T17" s="23" t="n">
        <x:v>5</x:v>
      </x:c>
      <x:c r="U17" s="23" t="n">
        <x:v>11231</x:v>
      </x:c>
      <x:c r="V17" s="15" t="str">
        <x:v>否</x:v>
      </x:c>
      <x:c r="W17" s="15" t="str">
        <x:v>我无法直接访问您的账户或交易记录，因此不能核实您的付款是否成功。要获取收据，我需要您的确认。
请确认以下事项：
- 如果您想下载最近**成功交易**的收据，请选择“下载最新收据”。
- 或者提供您的 **transaction number**，以便进一步处理。
同时，您通常可以在以下位置找到收据：
- 支付平台（如银行、支付宝、微信）的交易记录
- 支付确认邮件
- 账户的账单历史页面
请确认您希望执行的操作，或提供交易号。在您明确确认前，我不会执行任何下载或查询操作。</x:v>
      </x:c>
      <x:c r="X17" s="15" t="str">
        <x:v>已通过当前 Docker 平台执行</x:v>
      </x:c>
    </x:row>
    <x:row r="18" ht="34" customHeight="1">
      <x:c r="A18" s="15" t="str">
        <x:v>TC-017</x:v>
      </x:c>
      <x:c r="B18" s="15" t="str">
        <x:v>Customer / signed in</x:v>
      </x:c>
      <x:c r="C18" s="15" t="str">
        <x:v>License renewal</x:v>
      </x:c>
      <x:c r="D18" s="15" t="str">
        <x:v>Workflow</x:v>
      </x:c>
      <x:c r="E18" s="15" t="str">
        <x:v>ar</x:v>
      </x:c>
      <x:c r="F18" s="15" t="str">
        <x:v>رخصتي ستنتهي قريباً، ماذا يجب أن أفعل؟</x:v>
      </x:c>
      <x:c r="G18" s="15" t="str">
        <x:v>Explain the renewal window, required information and the online renewal route in Arabic.</x:v>
      </x:c>
      <x:c r="H18" s="15" t="str">
        <x:v>Arabic response; checks actual expiry; does not claim renewal is complete.</x:v>
      </x:c>
      <x:c r="I18" s="15" t="str">
        <x:v>license_renewal</x:v>
      </x:c>
      <x:c r="J18" s="15" t="str">
        <x:v>license_renewal</x:v>
      </x:c>
      <x:c r="K18" s="15" t="str">
        <x:v>是</x:v>
      </x:c>
      <x:c r="L18" s="15" t="str">
        <x:v>knowledge</x:v>
      </x:c>
      <x:c r="M18" s="15" t="str">
        <x:v>answer</x:v>
      </x:c>
      <x:c r="N18" s="15" t="str">
        <x:v>是</x:v>
      </x:c>
      <x:c r="O18" s="15" t="str">
        <x:v>bm25, graph, vector</x:v>
      </x:c>
      <x:c r="P18" s="23" t="n">
        <x:v>32</x:v>
      </x:c>
      <x:c r="Q18" s="15" t="str">
        <x:v>knowledge.search</x:v>
      </x:c>
      <x:c r="R18" s="15" t="str">
        <x:v>是</x:v>
      </x:c>
      <x:c r="S18" s="15" t="str">
        <x:v>是</x:v>
      </x:c>
      <x:c r="T18" s="23" t="n">
        <x:v>5</x:v>
      </x:c>
      <x:c r="U18" s="23" t="n">
        <x:v>20159</x:v>
      </x:c>
      <x:c r="V18" s="15" t="str">
        <x:v>否</x:v>
      </x:c>
      <x:c r="W18" s="15" t="str">
        <x:v>بناءً على قاعدة المعرفة، إليك الإجراء العام حسب نوع رخصتك:
**1) رخصة النشاط الإعلامي** (وفق القرار التنفيذي للائحة الإعلام 2024):
- مدة الرخصة: **سنة ميلادية**.
- يجب تقديم طلب التجديد **قبل 30 يومًا** من تاريخ الانتهاء.
- لا يجوز الاستمرار في مزاولة النشاط بعد انتهاء الرخصة حتى يتم التجديد.
- إذا لم يُقدَّم طلب التجديد خلال **90 يومًا** من تاريخ الانتهاء، تُلغى الرخصة تلقائيًا وتُفرض غرامة.
**2) رخصة المعلن** (إذا كانت رخصتك من هذا النوع):
- المدة: **سنة واحدة** للمواطنين/المقيمين، و**3 أشهر** للزوار.
- إذا لم تُجدد خلال **30 يومًا** بعد انتهاء الصلاحية، تنتهي الرخصة.
**الخطوة التالية:**
- حدد نوع رخصتك والجهة المصدرة (مجلس الإعلام أو السلطة المختصة).
- قدّم طلب التجديد عبر البوابة الإلكترونية للجهة قبل الموعد المحدد.
- إذا زوّدتني بنوع رخصتك أو الإمارة أو الجهة، يمكنني البحث لك عن التفاصيل الأدق.
**ملاحظة:** التجديد (Renewal) يختلف عن التمديد (Extension)؛ الإرشادات أعلاه خاصة بالتجديد فقط. وهذه المعلومات عامة ولا تُعد تأكيدًا لأهليتك — الجهة المختصة هي من يقرر ذلك.</x:v>
      </x:c>
      <x:c r="X18" s="15" t="str">
        <x:v>已通过当前 Docker 平台执行</x:v>
      </x:c>
    </x:row>
    <x:row r="19" ht="34" customHeight="1">
      <x:c r="A19" s="15" t="str">
        <x:v>TC-018</x:v>
      </x:c>
      <x:c r="B19" s="15" t="str">
        <x:v>Customer / signed in</x:v>
      </x:c>
      <x:c r="C19" s="15" t="str">
        <x:v>Fine appeal</x:v>
      </x:c>
      <x:c r="D19" s="15" t="str">
        <x:v>Workflow</x:v>
      </x:c>
      <x:c r="E19" s="15" t="str">
        <x:v>en</x:v>
      </x:c>
      <x:c r="F19" s="15" t="str">
        <x:v>I received a fine notification. Can I appeal it?</x:v>
      </x:c>
      <x:c r="G19" s="15" t="str">
        <x:v>Explain whether an appeal route exists and guide the user to the official process.</x:v>
      </x:c>
      <x:c r="H19" s="15" t="str">
        <x:v>Reads the correct fine; distinguishes appeal guidance from submitting an appeal.</x:v>
      </x:c>
      <x:c r="I19" s="15" t="str">
        <x:v>fine_appeal</x:v>
      </x:c>
      <x:c r="J19" s="15" t="str">
        <x:v>fine_appeal</x:v>
      </x:c>
      <x:c r="K19" s="15" t="str">
        <x:v>是</x:v>
      </x:c>
      <x:c r="L19" s="15" t="str">
        <x:v>api_call</x:v>
      </x:c>
      <x:c r="M19" s="15" t="str">
        <x:v>collect</x:v>
      </x:c>
      <x:c r="N19" s="15" t="str">
        <x:v>否</x:v>
      </x:c>
      <x:c r="O19" s="15" t="str"/>
      <x:c r="P19" s="23" t="str"/>
      <x:c r="Q19" s="15" t="str"/>
      <x:c r="R19" s="15" t="str">
        <x:v>否</x:v>
      </x:c>
      <x:c r="S19" s="15" t="str">
        <x:v>是</x:v>
      </x:c>
      <x:c r="T19" s="23" t="n">
        <x:v>5</x:v>
      </x:c>
      <x:c r="U19" s="23" t="n">
        <x:v>5105</x:v>
      </x:c>
      <x:c r="V19" s="15" t="str">
        <x:v>否</x:v>
      </x:c>
      <x:c r="W19" s="15" t="str">
        <x:v>Thank you for reaching out. Yes, you can submit an appeal for the fine, but we’ll need the following details to proceed:
- **Violation number** – the reference number from your fine notice  
- **Appeal reason** – e.g., factual error, procedural issue, or other valid ground  
- **Appeal details** – a clear explanation and any supporting evidence you have  
Once you provide these, we will show you a **preview of your appeal submission** and ask for your **explicit confirmation** before submitting it. Please share the required information, and we’ll guide you through the next steps.</x:v>
      </x:c>
      <x:c r="X19" s="15" t="str">
        <x:v>已通过当前 Docker 平台执行</x:v>
      </x:c>
    </x:row>
    <x:row r="20" ht="34" customHeight="1">
      <x:c r="A20" s="15" t="str">
        <x:v>TC-019</x:v>
      </x:c>
      <x:c r="B20" s="15" t="str">
        <x:v>Customer / signed in</x:v>
      </x:c>
      <x:c r="C20" s="15" t="str">
        <x:v>Service discovery</x:v>
      </x:c>
      <x:c r="D20" s="15" t="str">
        <x:v>Workflow</x:v>
      </x:c>
      <x:c r="E20" s="15" t="str">
        <x:v>en</x:v>
      </x:c>
      <x:c r="F20" s="15" t="str">
        <x:v>I cannot find the right service for my business. Can you help?</x:v>
      </x:c>
      <x:c r="G20" s="15" t="str">
        <x:v>Ask about business activity and recommend the closest service or enquiry route.</x:v>
      </x:c>
      <x:c r="H20" s="15" t="str">
        <x:v>Minimal slot filling; does not choose a legally binding category without confirmation.</x:v>
      </x:c>
      <x:c r="I20" s="15" t="str">
        <x:v>service_discovery</x:v>
      </x:c>
      <x:c r="J20" s="15" t="str">
        <x:v>service_discovery</x:v>
      </x:c>
      <x:c r="K20" s="15" t="str">
        <x:v>是</x:v>
      </x:c>
      <x:c r="L20" s="15" t="str">
        <x:v>data_query</x:v>
      </x:c>
      <x:c r="M20" s="15" t="str">
        <x:v>collect</x:v>
      </x:c>
      <x:c r="N20" s="15" t="str">
        <x:v>否</x:v>
      </x:c>
      <x:c r="O20" s="15" t="str"/>
      <x:c r="P20" s="23" t="str"/>
      <x:c r="Q20" s="15" t="str"/>
      <x:c r="R20" s="15" t="str">
        <x:v>否</x:v>
      </x:c>
      <x:c r="S20" s="15" t="str">
        <x:v>是</x:v>
      </x:c>
      <x:c r="T20" s="23" t="n">
        <x:v>5</x:v>
      </x:c>
      <x:c r="U20" s="23" t="n">
        <x:v>7892</x:v>
      </x:c>
      <x:c r="V20" s="15" t="str">
        <x:v>否</x:v>
      </x:c>
      <x:c r="W20" s="15" t="str">
        <x:v>I completely understand. Finding the right UMC media service can be tricky, but I can help you narrow it down based on your business profile.
To screen the UMC media services for you, could you please provide the following details:
1.  **Account Type** (e.g., individual, business/enterprise, non-profit, public sector, etc.)
2.  **Media Business Activity** (please select the closest match):
    *   Publishing / books
    *   Advertising content
    *   Broadcast / production
    *   Social media
*(If none of the specific options fit perfectly, feel free to describe your activity in a few words, and I will evaluate the available categories.)*
Once I have this information, I can filter the available UMC services and present a shortlist relevant to your needs. Please share those details, and let's get started.</x:v>
      </x:c>
      <x:c r="X20" s="15" t="str">
        <x:v>已通过当前 Docker 平台执行</x:v>
      </x:c>
    </x:row>
    <x:row r="21" ht="34" customHeight="1">
      <x:c r="A21" s="15" t="str">
        <x:v>TC-020</x:v>
      </x:c>
      <x:c r="B21" s="15" t="str">
        <x:v>Customer / signed in</x:v>
      </x:c>
      <x:c r="C21" s="15" t="str">
        <x:v>Delayed application complaint</x:v>
      </x:c>
      <x:c r="D21" s="15" t="str">
        <x:v>Workflow</x:v>
      </x:c>
      <x:c r="E21" s="15" t="str">
        <x:v>en</x:v>
      </x:c>
      <x:c r="F21" s="15" t="str">
        <x:v>I have a complaint about a delayed application. How can I submit it?</x:v>
      </x:c>
      <x:c r="G21" s="15" t="str">
        <x:v>Check delay context and guide the user to the complaint route with required details.</x:v>
      </x:c>
      <x:c r="H21" s="15" t="str">
        <x:v>Distinguishes complaint from enquiry; does not create an unintended ticket.</x:v>
      </x:c>
      <x:c r="I21" s="15" t="str">
        <x:v>complaint_create</x:v>
      </x:c>
      <x:c r="J21" s="15" t="str">
        <x:v>complaint_create</x:v>
      </x:c>
      <x:c r="K21" s="15" t="str">
        <x:v>是</x:v>
      </x:c>
      <x:c r="L21" s="15" t="str">
        <x:v>api_call</x:v>
      </x:c>
      <x:c r="M21" s="15" t="str">
        <x:v>collect</x:v>
      </x:c>
      <x:c r="N21" s="15" t="str">
        <x:v>否</x:v>
      </x:c>
      <x:c r="O21" s="15" t="str"/>
      <x:c r="P21" s="23" t="str"/>
      <x:c r="Q21" s="15" t="str"/>
      <x:c r="R21" s="15" t="str">
        <x:v>否</x:v>
      </x:c>
      <x:c r="S21" s="15" t="str">
        <x:v>是</x:v>
      </x:c>
      <x:c r="T21" s="23" t="n">
        <x:v>5</x:v>
      </x:c>
      <x:c r="U21" s="23" t="n">
        <x:v>6124</x:v>
      </x:c>
      <x:c r="V21" s="15" t="str">
        <x:v>否</x:v>
      </x:c>
      <x:c r="W21" s="15" t="str">
        <x:v>To submit a complaint about a delayed application, I’ll need the following details:
1. **Application number** – the unique reference for your application.  
2. **Complaint details** – a clear description of the issue and the delay you’ve experienced.
Once you provide these, I’ll show you a preview of your complaint for confirmation. After you approve, I’ll submit it.
Please share the application number and complaint details, and we’ll take it from there.</x:v>
      </x:c>
      <x:c r="X21" s="15" t="str">
        <x:v>已通过当前 Docker 平台执行</x:v>
      </x:c>
    </x:row>
    <x:row r="22" ht="34" customHeight="1">
      <x:c r="A22" s="15" t="str">
        <x:v>TC-021</x:v>
      </x:c>
      <x:c r="B22" s="15" t="str">
        <x:v>Customer / signed in</x:v>
      </x:c>
      <x:c r="C22" s="15" t="str">
        <x:v>Enquiry follow-up</x:v>
      </x:c>
      <x:c r="D22" s="15" t="str">
        <x:v>Workflow</x:v>
      </x:c>
      <x:c r="E22" s="15" t="str">
        <x:v>en</x:v>
      </x:c>
      <x:c r="F22" s="15" t="str">
        <x:v>I want to follow up on an enquiry I submitted earlier.</x:v>
      </x:c>
      <x:c r="G22" s="15" t="str">
        <x:v>Find the matching enquiry and provide status or the correct follow-up route.</x:v>
      </x:c>
      <x:c r="H22" s="15" t="str">
        <x:v>Matches the right enquiry; protects private data.</x:v>
      </x:c>
      <x:c r="I22" s="15" t="str">
        <x:v>enquiry_followup</x:v>
      </x:c>
      <x:c r="J22" s="15" t="str">
        <x:v>enquiry_followup</x:v>
      </x:c>
      <x:c r="K22" s="15" t="str">
        <x:v>是</x:v>
      </x:c>
      <x:c r="L22" s="15" t="str">
        <x:v>data_query</x:v>
      </x:c>
      <x:c r="M22" s="15" t="str">
        <x:v>collect</x:v>
      </x:c>
      <x:c r="N22" s="15" t="str">
        <x:v>否</x:v>
      </x:c>
      <x:c r="O22" s="15" t="str"/>
      <x:c r="P22" s="23" t="str"/>
      <x:c r="Q22" s="15" t="str"/>
      <x:c r="R22" s="15" t="str">
        <x:v>否</x:v>
      </x:c>
      <x:c r="S22" s="15" t="str">
        <x:v>是</x:v>
      </x:c>
      <x:c r="T22" s="23" t="n">
        <x:v>5</x:v>
      </x:c>
      <x:c r="U22" s="23" t="n">
        <x:v>3836</x:v>
      </x:c>
      <x:c r="V22" s="15" t="str">
        <x:v>否</x:v>
      </x:c>
      <x:c r="W22" s="15" t="str">
        <x:v>Could you please provide the enquiry reference (e.g., ticket number or ID) for the submission you'd like to follow up on? Without a reference, I cannot locate the record or confirm its status. Once you share it, I'll check what we have.</x:v>
      </x:c>
      <x:c r="X22" s="15" t="str">
        <x:v>已通过当前 Docker 平台执行</x:v>
      </x:c>
    </x:row>
    <x:row r="23" ht="34" customHeight="1">
      <x:c r="A23" s="15" t="str">
        <x:v>TC-022</x:v>
      </x:c>
      <x:c r="B23" s="15" t="str">
        <x:v>Customer / signed in</x:v>
      </x:c>
      <x:c r="C23" s="15" t="str">
        <x:v>Reopen resolved enquiry</x:v>
      </x:c>
      <x:c r="D23" s="15" t="str">
        <x:v>Workflow</x:v>
      </x:c>
      <x:c r="E23" s="15" t="str">
        <x:v>en</x:v>
      </x:c>
      <x:c r="F23" s="15" t="str">
        <x:v>Can I reopen my resolved enquiry?</x:v>
      </x:c>
      <x:c r="G23" s="15" t="str">
        <x:v>Explain whether reopening is supported and provide the available next action.</x:v>
      </x:c>
      <x:c r="H23" s="15" t="str">
        <x:v>Uses actual enquiry state; does not silently reopen it.</x:v>
      </x:c>
      <x:c r="I23" s="15" t="str">
        <x:v>enquiry_reopen</x:v>
      </x:c>
      <x:c r="J23" s="15" t="str">
        <x:v>enquiry_reopen</x:v>
      </x:c>
      <x:c r="K23" s="15" t="str">
        <x:v>是</x:v>
      </x:c>
      <x:c r="L23" s="15" t="str">
        <x:v>api_call</x:v>
      </x:c>
      <x:c r="M23" s="15" t="str">
        <x:v>collect</x:v>
      </x:c>
      <x:c r="N23" s="15" t="str">
        <x:v>否</x:v>
      </x:c>
      <x:c r="O23" s="15" t="str"/>
      <x:c r="P23" s="23" t="str"/>
      <x:c r="Q23" s="15" t="str"/>
      <x:c r="R23" s="15" t="str">
        <x:v>否</x:v>
      </x:c>
      <x:c r="S23" s="15" t="str">
        <x:v>是</x:v>
      </x:c>
      <x:c r="T23" s="23" t="n">
        <x:v>5</x:v>
      </x:c>
      <x:c r="U23" s="23" t="n">
        <x:v>3580</x:v>
      </x:c>
      <x:c r="V23" s="15" t="str">
        <x:v>否</x:v>
      </x:c>
      <x:c r="W23" s="15" t="str">
        <x:v>Based on our process rules, I can't guarantee that a resolved enquiry can be reopened. Here's what you need to know:
**To proceed, please provide your resolved enquiry reference number.** Without it, I cannot look up the case.
**Your options are:**
1. **Check message option** – We can check whether the original thread still allows you to reply/add a message after resolution.
2. **Create linked enquiry** – If the original thread is closed, we can create a new enquiry linked to the old one to continue the topic.
---
⚠️ Note: Reopening is **not guaranteed**; it depends on the case status and system capabilities. A linked enquiry is often the more reliable path if the original is fully closed.
Please share your **enquiry reference** so I can check which option is available for you.</x:v>
      </x:c>
      <x:c r="X23" s="15" t="str">
        <x:v>已通过当前 Docker 平台执行</x:v>
      </x:c>
    </x:row>
    <x:row r="24" ht="34" customHeight="1">
      <x:c r="A24" s="15" t="str">
        <x:v>TC-023</x:v>
      </x:c>
      <x:c r="B24" s="15" t="str">
        <x:v>Customer / signed in</x:v>
      </x:c>
      <x:c r="C24" s="15" t="str">
        <x:v>Payment technical enquiry</x:v>
      </x:c>
      <x:c r="D24" s="15" t="str">
        <x:v>Workflow</x:v>
      </x:c>
      <x:c r="E24" s="15" t="str">
        <x:v>en</x:v>
      </x:c>
      <x:c r="F24" s="15" t="str">
        <x:v>I cannot complete payment. How can I raise a technical enquiry?</x:v>
      </x:c>
      <x:c r="G24" s="15" t="str">
        <x:v>Give troubleshooting steps and guide to the technical enquiry route.</x:v>
      </x:c>
      <x:c r="H24" s="15" t="str">
        <x:v>Does not request card details; preserves payment reference.</x:v>
      </x:c>
      <x:c r="I24" s="15" t="str">
        <x:v>technical_enquiry</x:v>
      </x:c>
      <x:c r="J24" s="15" t="str">
        <x:v>technical_enquiry</x:v>
      </x:c>
      <x:c r="K24" s="15" t="str">
        <x:v>是</x:v>
      </x:c>
      <x:c r="L24" s="15" t="str">
        <x:v>api_call</x:v>
      </x:c>
      <x:c r="M24" s="15" t="str">
        <x:v>collect</x:v>
      </x:c>
      <x:c r="N24" s="15" t="str">
        <x:v>否</x:v>
      </x:c>
      <x:c r="O24" s="15" t="str"/>
      <x:c r="P24" s="23" t="str"/>
      <x:c r="Q24" s="15" t="str"/>
      <x:c r="R24" s="15" t="str">
        <x:v>否</x:v>
      </x:c>
      <x:c r="S24" s="15" t="str">
        <x:v>是</x:v>
      </x:c>
      <x:c r="T24" s="23" t="n">
        <x:v>5</x:v>
      </x:c>
      <x:c r="U24" s="23" t="n">
        <x:v>6131</x:v>
      </x:c>
      <x:c r="V24" s="15" t="str">
        <x:v>否</x:v>
      </x:c>
      <x:c r="W24" s="15" t="str">
        <x:v>I'm sorry to hear you're unable to complete the payment.  
To raise a technical enquiry, please provide the following details so I can generate a preview for your confirmation:
- **Transaction number**  
- **Error message** (exact text you saw)  
- **Time the issue occurred** (with timezone, if possible)
Once you share these, I will prepare a technical enquiry preview for your review before any submission is made.</x:v>
      </x:c>
      <x:c r="X24" s="15" t="str">
        <x:v>已通过当前 Docker 平台执行</x:v>
      </x:c>
    </x:row>
    <x:row r="25" ht="34" customHeight="1">
      <x:c r="A25" s="15" t="str">
        <x:v>TC-024</x:v>
      </x:c>
      <x:c r="B25" s="15" t="str">
        <x:v>Customer / signed in</x:v>
      </x:c>
      <x:c r="C25" s="15" t="str">
        <x:v>Multiple applications</x:v>
      </x:c>
      <x:c r="D25" s="15" t="str">
        <x:v>Multi-turn</x:v>
      </x:c>
      <x:c r="E25" s="15" t="str">
        <x:v>en</x:v>
      </x:c>
      <x:c r="F25" s="15" t="str">
        <x:v>1. What's the status of my application?
2. I mean the photography one.
3. What do I need to do next?</x:v>
      </x:c>
      <x:c r="G25" s="15" t="str">
        <x:v>List matching applications, resolve the selected record, then explain status and next step.</x:v>
      </x:c>
      <x:c r="H25" s="15" t="str">
        <x:v>Maintains selection across turns; no cross-user data.</x:v>
      </x:c>
      <x:c r="I25" s="15" t="str">
        <x:v>application_status</x:v>
      </x:c>
      <x:c r="J25" s="15" t="str">
        <x:v>application_status</x:v>
      </x:c>
      <x:c r="K25" s="15" t="str">
        <x:v>是</x:v>
      </x:c>
      <x:c r="L25" s="15" t="str">
        <x:v>data_query</x:v>
      </x:c>
      <x:c r="M25" s="15" t="str">
        <x:v>answer</x:v>
      </x:c>
      <x:c r="N25" s="15" t="str">
        <x:v>否</x:v>
      </x:c>
      <x:c r="O25" s="15" t="str"/>
      <x:c r="P25" s="23" t="str"/>
      <x:c r="Q25" s="15" t="str">
        <x:v>umc.applications</x:v>
      </x:c>
      <x:c r="R25" s="15" t="str">
        <x:v>是</x:v>
      </x:c>
      <x:c r="S25" s="15" t="str">
        <x:v>是</x:v>
      </x:c>
      <x:c r="T25" s="23" t="n">
        <x:v>5</x:v>
      </x:c>
      <x:c r="U25" s="23" t="n">
        <x:v>18433</x:v>
      </x:c>
      <x:c r="V25" s="15" t="str">
        <x:v>否</x:v>
      </x:c>
      <x:c r="W25" s="15" t="str">
        <x:v>I couldn’t find any application with a service name containing “photography” in your records. Here are all the applications I have:
- APP-2026-000001 – Media Establishment License (Draft)
- APP-2026-000002 – Book Circulation Permit (Pending Payment, 275 AED)
- APP-2026-000003 – Media Event Permit (Submitted, 500 AED)
- APP-2026-000004 – Media Establishment License (Completed)
- APP-2026-000005 – Newspaper Circulation Permit (Submitted, 350 AED)
- APP-2026-000006 – Advertising Content Permit (Draft)
- APP-2026-000007 – Printing Press License (Completed)
- APP-2026-000008 – Media Event Permit (Pending Payment, 650 AED)
- APP-2026-000009 – Radio Broadcasting License (Submitted, 2500 AED)
- APP-2026-000010 – Television Broadcasting License (Draft)
- APP-2026-000011 – Book Circulation Permit (Completed)
- APP-2026-000012 – Digital News Platform License (Pending Payment, 950 AED)
Which one is the “photography” one you meant? Or please provide the application number so I can check the exact status and tell you exactly what to do next.
In general:
- **Draft** → you need to submit it.
- **Pending Payment** → you need to pay the due amount.
- **Submitted** → you wait for review/approval.
- **Completed** → no further action needed.
Let me know the correct application and I’ll give you the precise next step.</x:v>
      </x:c>
      <x:c r="X25" s="15" t="str">
        <x:v>已通过当前 Docker 平台执行</x:v>
      </x:c>
    </x:row>
    <x:row r="26" ht="34" customHeight="1">
      <x:c r="A26" s="15" t="str">
        <x:v>TC-025</x:v>
      </x:c>
      <x:c r="B26" s="15" t="str">
        <x:v>Customer / signed in</x:v>
      </x:c>
      <x:c r="C26" s="15" t="str">
        <x:v>Guided application slots</x:v>
      </x:c>
      <x:c r="D26" s="15" t="str">
        <x:v>Multi-turn</x:v>
      </x:c>
      <x:c r="E26" s="15" t="str">
        <x:v>en</x:v>
      </x:c>
      <x:c r="F26" s="15" t="str">
        <x:v>1. I want to apply for a media service.
2. It is for a commercial photo shoot.
3. I am applying as a company.</x:v>
      </x:c>
      <x:c r="G26" s="15" t="str">
        <x:v>Collect the minimum slots, recommend the likely route, and present preparation steps.</x:v>
      </x:c>
      <x:c r="H26" s="15" t="str">
        <x:v>Remembers activity and applicant type; avoids repeating questions.</x:v>
      </x:c>
      <x:c r="I26" s="15" t="str">
        <x:v>service_discovery</x:v>
      </x:c>
      <x:c r="J26" s="15" t="str">
        <x:v>service_discovery</x:v>
      </x:c>
      <x:c r="K26" s="15" t="str">
        <x:v>是</x:v>
      </x:c>
      <x:c r="L26" s="15" t="str">
        <x:v>knowledge</x:v>
      </x:c>
      <x:c r="M26" s="15" t="str">
        <x:v>answer</x:v>
      </x:c>
      <x:c r="N26" s="15" t="str">
        <x:v>是</x:v>
      </x:c>
      <x:c r="O26" s="15" t="str">
        <x:v>bm25, graph, vector</x:v>
      </x:c>
      <x:c r="P26" s="23" t="n">
        <x:v>32</x:v>
      </x:c>
      <x:c r="Q26" s="15" t="str">
        <x:v>knowledge.search</x:v>
      </x:c>
      <x:c r="R26" s="15" t="str">
        <x:v>是</x:v>
      </x:c>
      <x:c r="S26" s="15" t="str">
        <x:v>是</x:v>
      </x:c>
      <x:c r="T26" s="23" t="n">
        <x:v>5</x:v>
      </x:c>
      <x:c r="U26" s="23" t="n">
        <x:v>13307</x:v>
      </x:c>
      <x:c r="V26" s="15" t="str">
        <x:v>否</x:v>
      </x:c>
      <x:c r="W26" s="15" t="str">
        <x:v>根据您的情况（商业摄影拍摄、以公司身份申请），最匹配的应是 **Issuance of Filming License（拍摄许可）** 类下的 **Ground filming permit within the country（国内地面拍摄许可）**。  
您可通过 NMA 电子服务门户申请：https://www.nma.gov.ae/en/services
说明与建议：
- **申请入口**：在 Eservices 页面选择「Issuance of Filming License」→「Ground filming permit within the country」，点击 Apply。
- **公司身份**：您需要以公司账户登录并提交商业注册信息，系统会按商业实体（UserTypeId=2）处理。
- **其他拍摄类型**：如果涉及航拍，应选择 Aerial Photography Permit；如在海上拍摄，则选择 Marine photography permit。
- **注意**：Media Network Registration 不是拍摄许可，仅用于媒体代表登记，不提供拍摄授权。
目前知识库未提供该服务的具体费用与材料清单，建议登录申请页面查看实际要求。需要我帮您进一步核对拍摄许可类型或申请流程吗？</x:v>
      </x:c>
      <x:c r="X26" s="15" t="str">
        <x:v>已通过当前 Docker 平台执行</x:v>
      </x:c>
    </x:row>
    <x:row r="27" ht="34" customHeight="1">
      <x:c r="A27" s="15" t="str">
        <x:v>TC-026</x:v>
      </x:c>
      <x:c r="B27" s="15" t="str">
        <x:v>Customer / signed in</x:v>
      </x:c>
      <x:c r="C27" s="15" t="str">
        <x:v>Permit comparison follow-up</x:v>
      </x:c>
      <x:c r="D27" s="15" t="str">
        <x:v>Multi-turn</x:v>
      </x:c>
      <x:c r="E27" s="15" t="str">
        <x:v>en</x:v>
      </x:c>
      <x:c r="F27" s="15" t="str">
        <x:v>1. Tell me about the photography permit.
2. What about the drone filming permit?
3. Which one fits my shoot?</x:v>
      </x:c>
      <x:c r="G27" s="15" t="str">
        <x:v>Compare the two relevant permits and explain the deciding conditions.</x:v>
      </x:c>
      <x:c r="H27" s="15" t="str">
        <x:v>Resolves “what about”; highlights changed requirements only.</x:v>
      </x:c>
      <x:c r="I27" s="15" t="str">
        <x:v>license_application</x:v>
      </x:c>
      <x:c r="J27" s="15" t="str">
        <x:v>license_application</x:v>
      </x:c>
      <x:c r="K27" s="15" t="str">
        <x:v>是</x:v>
      </x:c>
      <x:c r="L27" s="15" t="str">
        <x:v>knowledge</x:v>
      </x:c>
      <x:c r="M27" s="15" t="str">
        <x:v>answer</x:v>
      </x:c>
      <x:c r="N27" s="15" t="str">
        <x:v>是</x:v>
      </x:c>
      <x:c r="O27" s="15" t="str">
        <x:v>bm25, graph, vector</x:v>
      </x:c>
      <x:c r="P27" s="23" t="n">
        <x:v>32</x:v>
      </x:c>
      <x:c r="Q27" s="15" t="str">
        <x:v>knowledge.search</x:v>
      </x:c>
      <x:c r="R27" s="15" t="str">
        <x:v>是</x:v>
      </x:c>
      <x:c r="S27" s="15" t="str">
        <x:v>是</x:v>
      </x:c>
      <x:c r="T27" s="23" t="n">
        <x:v>5</x:v>
      </x:c>
      <x:c r="U27" s="23" t="n">
        <x:v>12824</x:v>
      </x:c>
      <x:c r="V27" s="15" t="str">
        <x:v>否</x:v>
      </x:c>
      <x:c r="W27" s="15" t="str">
        <x:v>根据现有知识库，我可以给你以下信息：
## 1. 摄影许可（地面拍摄）
- 对应服务：**Ground filming permit within the country**（境内地面拍摄许可）
- 也有一项通用服务：**Issuance of Filming License**（签发拍摄许可证）
- 适用于在 UAE 境内进行地面拍摄、摄影活动。
&gt; 注：知识库中未检索到该许可更细的申请条件、费用和材料清单。
## 2. 无人机拍摄许可（航拍）
- 对应服务：**Aerial Photography Permit within the UAE**（阿联酋境内航拍许可）
- 适用于无人机、航拍器等空中拍摄活动。
&gt; 同样，知识库未提供该许可的具体条件、费用和文档要求。
## 3. 哪个适合你的拍摄？
简单判断标准：
| 拍摄方式 | 应申请的许可 |
|---|---|
| 纯地面拍摄 / 地面摄影 | **Ground filming permit** |
| 无人机 / 空中拍摄 | **Aerial Photography Permit** |
| 海上 / 海洋拍摄 | **Marine photography permit** |
| 地面 + 空中混合拍摄 | 可能需要**同时申请**地面拍摄许可 + 航拍许可 |
## 补充：共同要求（来自《2024年媒体执行条例》第21条）
所有拍摄活动（陆地、空中、海上）申请时：
- 需在开始拍摄前 **至少 15 个工作日** 提交申请
- 填写指定表格，说明拍摄目的（电影/电视报道/广告等）
- 提供拍摄起止日期、精确地点
- 必要时附上授权书、脚本批准许可等
---
我目前没有看到你具体拍摄类型、地点和日期，无法给出唯一推荐。如果你告诉我：
- 是否使用无人机？
- 拍摄性质（商业广告 / 影视 / 个人创作）？
- 拍摄地点（城市 / 自然保护区 / 海岸）？
我可以帮你更准确判断。另外，具体费用和材料清单知识库未覆盖，建议通过 **NMA 官网 e-services 页面** 进一步确认或直接提交申请。</x:v>
      </x:c>
      <x:c r="X27" s="15" t="str">
        <x:v>已通过当前 Docker 平台执行</x:v>
      </x:c>
    </x:row>
    <x:row r="28" ht="34" customHeight="1">
      <x:c r="A28" s="15" t="str">
        <x:v>TC-027</x:v>
      </x:c>
      <x:c r="B28" s="15" t="str">
        <x:v>Customer / signed in</x:v>
      </x:c>
      <x:c r="C28" s="15" t="str">
        <x:v>Applicant condition change</x:v>
      </x:c>
      <x:c r="D28" s="15" t="str">
        <x:v>Multi-turn</x:v>
      </x:c>
      <x:c r="E28" s="15" t="str">
        <x:v>en</x:v>
      </x:c>
      <x:c r="F28" s="15" t="str">
        <x:v>1. How does the photography permit work for a company?
2. What if I am a freelancer?</x:v>
      </x:c>
      <x:c r="G28" s="15" t="str">
        <x:v>Explain only the requirements that change for the freelancer case.</x:v>
      </x:c>
      <x:c r="H28" s="15" t="str">
        <x:v>Retains topic; does not repeat unrelated content; uses cautious eligibility wording.</x:v>
      </x:c>
      <x:c r="I28" s="15" t="str">
        <x:v>license_application</x:v>
      </x:c>
      <x:c r="J28" s="15" t="str">
        <x:v>license_application</x:v>
      </x:c>
      <x:c r="K28" s="15" t="str">
        <x:v>是</x:v>
      </x:c>
      <x:c r="L28" s="15" t="str">
        <x:v>knowledge</x:v>
      </x:c>
      <x:c r="M28" s="15" t="str">
        <x:v>answer</x:v>
      </x:c>
      <x:c r="N28" s="15" t="str">
        <x:v>是</x:v>
      </x:c>
      <x:c r="O28" s="15" t="str">
        <x:v>bm25, graph, vector</x:v>
      </x:c>
      <x:c r="P28" s="23" t="n">
        <x:v>32</x:v>
      </x:c>
      <x:c r="Q28" s="15" t="str">
        <x:v>knowledge.search</x:v>
      </x:c>
      <x:c r="R28" s="15" t="str">
        <x:v>是</x:v>
      </x:c>
      <x:c r="S28" s="15" t="str">
        <x:v>是</x:v>
      </x:c>
      <x:c r="T28" s="23" t="n">
        <x:v>5</x:v>
      </x:c>
      <x:c r="U28" s="23" t="n">
        <x:v>19663</x:v>
      </x:c>
      <x:c r="V28" s="15" t="str">
        <x:v>否</x:v>
      </x:c>
      <x:c r="W28" s="15" t="str">
        <x:v>根据已检索到的知识库信息（阿联酋 NMA/媒体委员会相关法规和电子服务页面），回答如下：
## 1. 公司摄影/拍摄许可如何运作？
目前知识库中相关依据是 **《2024年内阁决议——媒体执行条例》第 21 条（Filming Activities）**，适用于陆地、空中或海上的拍摄活动。核心要点：
- **申请主体**：由执行拍摄的实体（公司）向主管当局申请。
- **提前时间**：需在计划开始拍摄日前 **至少 15 个工作日** 提交申请。
- **提交方式**：通过官方指定电子渠道、使用指定表格填写并附所需文件。
- **需填写/提交的内容**：
  - 拍摄目的（电影、电视报道、节目、电视剧、广告、视频短片等）；
  - 拍摄起止日期；
  - 拍摄地点的详细信息；
  - 授权信或相关主管部门/执行单位的官方函件（如适用）；
  - 若涉及电影/戏剧，需附 UAE Media Council 出具的剧本批准许可；电视剧则需主管当局的批准；
  - 遵守媒体内容标准及主管当局要求的其他条件。
- **审核时限**：主管当局在收到申请后 **15 个工作日内** 审核，并在此后 **3 个工作日内** 通知决定；逾期未决定视为默示拒绝。
NMA 电子服务页面也列出了相关线上申请入口，例如：
- Ground filming permit within the country（国内地面拍摄许可）
- Aerial Photography Permit within the UAE（阿联酋境内航拍许可）
- Marine photography permit within the UAE（阿联酋境内海上摄影许可）
公司可直接通过这些服务在线申请。
---
## 2. 如果我是自由职业者呢？
**已检索到的知识库中没有明确区分“公司”和“自由职业者”的拍摄许可规则。** 因此不能直接下结论。现有信息可以提供以下参考：
- NMA 电子服务中确实存在 **面向个人的许可**，例如“个人在社交媒体提供广告/媒体内容许可”“外国记者/通讯员服务”等。
- 但对于 **拍摄/摄影类许可**，现有文档未明确说明个人是否可以独立申请，或是否必须以持牌媒体公司/机构名义申请。
- 法规第 21 条提及的申请材料包括“授权信或官方函件”，可能意味着拍摄项目需要有明确的执行/委托主体，但并未排除个人申请。
**建议做法：**
1. 登录 NMA 电子服务页面（e-services），找到对应拍摄许可服务（如 Ground filming permit），查看其“服务对象/Stakeholders”说明，确认是否包含个人。
2. 若页面信息不足，可直接通过 NMA 的“Request an Inquiry”或客服渠道提交问询，确认自由职业者以个人名义申请的资格和附加条件。
3. 如果是受公司委托拍摄，通常由委托公司作为申请主体，你作为自由职业者属于其拍摄团队成员，遵循该公司的许可范围执行。
---
**注意：** 以上内容仅基于现有知识库检索结果，不构成官方资格认定。具体许可要求、费用和是否接受个人申请，请以 NMA 官方审核和答复为准。</x:v>
      </x:c>
      <x:c r="X28" s="15" t="str">
        <x:v>已通过当前 Docker 平台执行</x:v>
      </x:c>
    </x:row>
    <x:row r="29" ht="34" customHeight="1">
      <x:c r="A29" s="15" t="str">
        <x:v>TC-028</x:v>
      </x:c>
      <x:c r="B29" s="15" t="str">
        <x:v>Customer / signed in</x:v>
      </x:c>
      <x:c r="C29" s="15" t="str">
        <x:v>Topic stack</x:v>
      </x:c>
      <x:c r="D29" s="15" t="str">
        <x:v>Multi-turn</x:v>
      </x:c>
      <x:c r="E29" s="15" t="str">
        <x:v>en</x:v>
      </x:c>
      <x:c r="F29" s="15" t="str">
        <x:v>1. Help me prepare a broadcasting application.
2. Before that, do I have any unpaid fines?
3. Okay, back to the application.</x:v>
      </x:c>
      <x:c r="G29" s="15" t="str">
        <x:v>Answer the fine query, then resume the application at the prior step.</x:v>
      </x:c>
      <x:c r="H29" s="15" t="str">
        <x:v>Preserves process step; handles cross-module data consistently.</x:v>
      </x:c>
      <x:c r="I29" s="15" t="str">
        <x:v>fine_payment</x:v>
      </x:c>
      <x:c r="J29" s="15" t="str">
        <x:v>fine_payment</x:v>
      </x:c>
      <x:c r="K29" s="15" t="str">
        <x:v>是</x:v>
      </x:c>
      <x:c r="L29" s="15" t="str">
        <x:v>data_query</x:v>
      </x:c>
      <x:c r="M29" s="15" t="str">
        <x:v>collect</x:v>
      </x:c>
      <x:c r="N29" s="15" t="str">
        <x:v>否</x:v>
      </x:c>
      <x:c r="O29" s="15" t="str"/>
      <x:c r="P29" s="23" t="str"/>
      <x:c r="Q29" s="15" t="str"/>
      <x:c r="R29" s="15" t="str">
        <x:v>否</x:v>
      </x:c>
      <x:c r="S29" s="15" t="str">
        <x:v>是</x:v>
      </x:c>
      <x:c r="T29" s="23" t="n">
        <x:v>5</x:v>
      </x:c>
      <x:c r="U29" s="23" t="n">
        <x:v>6973</x:v>
      </x:c>
      <x:c r="V29" s="15" t="str">
        <x:v>否</x:v>
      </x:c>
      <x:c r="W29" s="15" t="str">
        <x:v>了解您的需求。我会先处理“未付罚款”查询，再继续“广播申请”准备。
### 1. 关于未付罚款查询
我目前无法直接访问您的账户或监管数据库，因此**不能核实您是否有未付的媒体违规罚款**。要查询的话，请您提供：
- **罚款参考号（fine_reference）** 或相关违规通知编号；
- 或前往对应的监管机构（如广电部门/媒体管理部门）官方渠道核实。
&gt; ⚠️ 若后续您提供了罚款参考号，我会先展示具体金额和支付信息，**经您再次确认后**才会进行支付操作。
---
### 2. 广播申请准备指南
在开始申请前，请确认您的业务类型已明确（如广播电台、电视台、网络广播等），不同类别所需材料有差异。以下是通用准备步骤：
**第一步：确认资格与条件**
- 主体资格：通常要求为依法设立的企业法人或事业单位，无重大违规记录；
- 场地、设备和技术方案符合广播技术要求；
- 频率/频道使用需符合频谱规划（若涉及无线广播）。
**第二步：准备核心材料**
- 营业执照副本复印件（加盖公章）；
- 法定代表人身份证明；
- 广播业务可行性报告（含覆盖范围、运营计划、技术参数）；
- 技术设备清单及检测报告；
- 节目来源与内容管理方案（含安全播出制度）；
- 专业人员资质证明（编播、技术等岗位）。
**第三步：提交申请**
- 向**国家广播电视总局**或**省级广播电视行政部门**提交书面申请及电子版材料；
- 可通过当地“政务服务平台”在线办理，或线下窗口递交；
- 受理后，监管部门会进行审核（可能涉及现场核查）。
**第四步：后续流程**
- 审核通过后领取《广播电台/电视台许可证》；
- 若有频率分配，需再办理频率使用许可证；
- 注意：未取得许可前不得开展正式广播业务。
---
### 3. 回到您的申请
为了更精准地协助您，请告诉我：
- 您计划申请哪一类业务？（如：调频广播、中波广播、网络广播等）
- 是否需要我帮您草拟可行性报告框架或材料清单模板？
在提供具体信息后，我可以进一步细化步骤和文档内容。另外，若您有罚款查询需求，请随时提供罚款参考号，我会协助处理。</x:v>
      </x:c>
      <x:c r="X29" s="15" t="str">
        <x:v>已通过当前 Docker 平台执行</x:v>
      </x:c>
    </x:row>
    <x:row r="30" ht="34" customHeight="1">
      <x:c r="A30" s="15" t="str">
        <x:v>TC-029</x:v>
      </x:c>
      <x:c r="B30" s="15" t="str">
        <x:v>Customer / signed in</x:v>
      </x:c>
      <x:c r="C30" s="15" t="str">
        <x:v>Self-correction and rephrase</x:v>
      </x:c>
      <x:c r="D30" s="15" t="str">
        <x:v>Multi-turn</x:v>
      </x:c>
      <x:c r="E30" s="15" t="str">
        <x:v>en</x:v>
      </x:c>
      <x:c r="F30" s="15" t="str">
        <x:v>1. What is the status of my social media license?
2. Sorry, I meant my photography permit.
3. Can you explain that another way?</x:v>
      </x:c>
      <x:c r="G30" s="15" t="str">
        <x:v>Switch to the corrected record and restate the answer in a clearer structure.</x:v>
      </x:c>
      <x:c r="H30" s="15" t="str">
        <x:v>Accepts correction without friction; avoids repeating the wrong record.</x:v>
      </x:c>
      <x:c r="I30" s="15" t="str">
        <x:v>application_status</x:v>
      </x:c>
      <x:c r="J30" s="15" t="str">
        <x:v>application_status</x:v>
      </x:c>
      <x:c r="K30" s="15" t="str">
        <x:v>是</x:v>
      </x:c>
      <x:c r="L30" s="15" t="str">
        <x:v>data_query</x:v>
      </x:c>
      <x:c r="M30" s="15" t="str">
        <x:v>answer</x:v>
      </x:c>
      <x:c r="N30" s="15" t="str">
        <x:v>否</x:v>
      </x:c>
      <x:c r="O30" s="15" t="str"/>
      <x:c r="P30" s="23" t="str"/>
      <x:c r="Q30" s="15" t="str">
        <x:v>umc.applications</x:v>
      </x:c>
      <x:c r="R30" s="15" t="str">
        <x:v>是</x:v>
      </x:c>
      <x:c r="S30" s="15" t="str">
        <x:v>是</x:v>
      </x:c>
      <x:c r="T30" s="23" t="n">
        <x:v>5</x:v>
      </x:c>
      <x:c r="U30" s="23" t="n">
        <x:v>18910</x:v>
      </x:c>
      <x:c r="V30" s="15" t="str">
        <x:v>否</x:v>
      </x:c>
      <x:c r="W30" s="15" t="str">
        <x:v>您好，我查看了您账户下的申请记录，**没有找到名为“摄影许可证（Photography Permit）”或“社交媒体许可证”的申请**。您当前共有 12 条申请，状态分布如下：
- **草稿（Draft）**：APP-2026-000001 媒体机构许可证、APP-2026-000006 广告内容许可证、APP-2026-000010 电视广播许可证
- **已提交（Submitted）**：APP-2026-000003 媒体活动许可证、APP-2026-000005 报纸流通许可证、APP-2026-000009 无线电广播许可证（续期）
- **待付款（Pending Payment）**：APP-2026-000002 图书流通许可证、APP-2026-000008 媒体活动许可证、APP-2026-000012 数字新闻平台许可证（续期）
- **已完成（Completed）**：APP-2026-000004 媒体机构许可证（续期）、APP-2026-000007 印刷许可证（续期）、APP-2026-000011 图书流通许可证
您提到的“摄影许可证”可能对应的是“媒体活动许可证”或“媒体机构许可证”。请提供具体申请号（如 `APP-2026-000003`），我可以为您查询详细状态。
换个方式解释这些状态：  
- **草稿** = 还没正式递交，只是先填了信息；  
- **已提交** = 已经递交，正在审核中；  
- **待付款** = 需要先交费，然后才能继续；  
- **已完成** = 已经办结，可以正常使用。
如果您不方便提供申请号，我也可以帮您查看最新的一条申请记录。</x:v>
      </x:c>
      <x:c r="X30" s="15" t="str">
        <x:v>已通过当前 Docker 平台执行</x:v>
      </x:c>
    </x:row>
    <x:row r="31" ht="34" customHeight="1">
      <x:c r="A31" s="15" t="str">
        <x:v>TC-030</x:v>
      </x:c>
      <x:c r="B31" s="15" t="str">
        <x:v>Customer / signed in</x:v>
      </x:c>
      <x:c r="C31" s="15" t="str">
        <x:v>Cross-module summary</x:v>
      </x:c>
      <x:c r="D31" s="15" t="str">
        <x:v>Multi-turn</x:v>
      </x:c>
      <x:c r="E31" s="15" t="str">
        <x:v>en</x:v>
      </x:c>
      <x:c r="F31" s="15" t="str">
        <x:v>1. Summarize my open applications and licenses.
2. Which item needs attention first?
3. Why?</x:v>
      </x:c>
      <x:c r="G31" s="15" t="str">
        <x:v>Combine the user's records, prioritize by status/expiry, and explain the basis.</x:v>
      </x:c>
      <x:c r="H31" s="15" t="str">
        <x:v>Uses only user data; labels prioritization as guidance, not an official decision.</x:v>
      </x:c>
      <x:c r="I31" s="15" t="str">
        <x:v>application_status</x:v>
      </x:c>
      <x:c r="J31" s="15" t="str">
        <x:v>application_status</x:v>
      </x:c>
      <x:c r="K31" s="15" t="str">
        <x:v>是</x:v>
      </x:c>
      <x:c r="L31" s="15" t="str">
        <x:v>data_query</x:v>
      </x:c>
      <x:c r="M31" s="15" t="str">
        <x:v>answer</x:v>
      </x:c>
      <x:c r="N31" s="15" t="str">
        <x:v>否</x:v>
      </x:c>
      <x:c r="O31" s="15" t="str"/>
      <x:c r="P31" s="23" t="str"/>
      <x:c r="Q31" s="15" t="str">
        <x:v>umc.applications</x:v>
      </x:c>
      <x:c r="R31" s="15" t="str">
        <x:v>是</x:v>
      </x:c>
      <x:c r="S31" s="15" t="str">
        <x:v>是</x:v>
      </x:c>
      <x:c r="T31" s="23" t="n">
        <x:v>5</x:v>
      </x:c>
      <x:c r="U31" s="23" t="n">
        <x:v>10635</x:v>
      </x:c>
      <x:c r="V31" s="15" t="str">
        <x:v>否</x:v>
      </x:c>
      <x:c r="W31" s="15" t="str">
        <x:v># 1. 未结申请与许可证总结
## 未结申请（非 Completed，共 9 项）
**待付款（3 项）— 最紧急**
| 申请号 | 服务 | 类型 | 金额 | 创建日期 |
|---|---|---|---|---|
| APP-2026-000002 | Book Circulation Permit（图书流通许可） | 新建 | 275 AED | 2026-07-22 |
| APP-2026-000008 | Media Event Permit（媒体活动许可） | 新建 | 650 AED | 2026-05-03 |
| APP-2026-000012 | Digital News Platform License（数字新闻平台执照） | **续期** | 950 AED | 2026-03-12 |
**已提交（3 项）**
| 申请号 | 服务 | 类型 | 金额 | 创建日期 |
|---|---|---|---|---|
| APP-2026-000003 | Media Event Permit（媒体活动许可） | 新建 | 500 AED | 2026-07-18 |
| APP-2026-000005 | Newspaper Circulation Permit（报纸流通许可） | 新建 | 350 AED | 2026-06-01 |
| APP-2026-000009 | Radio Broadcasting License（广播执照） | 续期 | 2500 AED | 2026-04-21 |
**草稿（3 项）**
| 申请号 | 服务 | 类型 | 创建日期 |
|---|---|---|---|
| APP-2026-000001 | Media Establishment License（媒体机构执照） | 新建 | 2026-07-25 |
| APP-2026-000006 | Advertising Content Permit（广告内容许可） | 新建 | 2026-05-28 |
| APP-2026-000010 | Television Broadcasting License（电视广播执照） | 新建 | 2026-04-11 |
## 已获许可证（3 项）
| 证书 ID | 申请号 | 服务类型 | 金额 |
|---|---|---|---|
| 4001 | APP-2026-000004 | Media Establishment License（续期） | 1200 AED |
| 4002 | APP-2026-000007 | Printing Press License（续期） | 1800 AED |
| 4004 | APP-2026-000011 | Book Circulation Permit（新建） | 275 AED |
---
# 2. 最需要优先处理的申请
**APP-2026-000012**（Digital News Platform License，续期，待付款 950 AED）
---
# 3. 原因
1. **续期逾期风险最高**：该申请创建于 2026-03-12，是未结申请中最早创建的一项，已超过 4 个月未完成付款。续期类申请若不及时处理，**已持有的执照（证书 4005）可能面临过期失效风险**，影响当前经营活动。
2. **待付款状态阻塞流程**：处于 Pending Payment（paymentStatus=1）意味着整个续期流程停滞在支付环节，只有完成付款才能继续。
3. 相比之下：
   - 草稿类（3 项）尚未提交，无即时风险；
   - 已提交类（3 项）进入了审核流程，现阶段等待审批即可；
   - 其他 2 项待付款申请（000002、000008）均为新建申请，时效敏感性低于续期，且创建时间更新，风险相对较低。
---
**下一步建议**：你是否需要我继续查看 APP-2026-000012 的付款详情，或对其发起支付？请确认后我再执行，支付属于有副作用操作，需要你明确同意。</x:v>
      </x:c>
      <x:c r="X31" s="15" t="str">
        <x:v>已通过当前 Docker 平台执行</x:v>
      </x:c>
    </x:row>
    <x:row r="32" ht="34" customHeight="1">
      <x:c r="A32" s="15" t="str">
        <x:v>TC-031</x:v>
      </x:c>
      <x:c r="B32" s="15" t="str">
        <x:v>Admin / signed in</x:v>
      </x:c>
      <x:c r="C32" s="15" t="str">
        <x:v>Inspection drilldown</x:v>
      </x:c>
      <x:c r="D32" s="15" t="str">
        <x:v>Admin multi-turn</x:v>
      </x:c>
      <x:c r="E32" s="15" t="str">
        <x:v>en</x:v>
      </x:c>
      <x:c r="F32" s="15" t="str">
        <x:v>1. Show today's inspection summary.
2. Which cases are high risk?
3. Open the second case and explain the risk.</x:v>
      </x:c>
      <x:c r="G32" s="15" t="str">
        <x:v>Return summary, list high-risk cases, then drill into the selected record with evidence.</x:v>
      </x:c>
      <x:c r="H32" s="15" t="str">
        <x:v>Correct list index; preserves filters; recommendations are not decisions.</x:v>
      </x:c>
      <x:c r="I32" s="15" t="str">
        <x:v>admin_inspection</x:v>
      </x:c>
      <x:c r="J32" s="15" t="str">
        <x:v>admin_inspection</x:v>
      </x:c>
      <x:c r="K32" s="15" t="str">
        <x:v>是</x:v>
      </x:c>
      <x:c r="L32" s="15" t="str">
        <x:v>data_query</x:v>
      </x:c>
      <x:c r="M32" s="15" t="str">
        <x:v>answer</x:v>
      </x:c>
      <x:c r="N32" s="15" t="str">
        <x:v>否</x:v>
      </x:c>
      <x:c r="O32" s="15" t="str"/>
      <x:c r="P32" s="23" t="str"/>
      <x:c r="Q32" s="15" t="str"/>
      <x:c r="R32" s="15" t="str">
        <x:v>否</x:v>
      </x:c>
      <x:c r="S32" s="15" t="str">
        <x:v>是</x:v>
      </x:c>
      <x:c r="T32" s="23" t="n">
        <x:v>5</x:v>
      </x:c>
      <x:c r="U32" s="23" t="n">
        <x:v>6921</x:v>
      </x:c>
      <x:c r="V32" s="15" t="str">
        <x:v>否</x:v>
      </x:c>
      <x:c r="W32" s="15" t="str">
        <x:v>当前我无法直接访问今日检查数据或案例列表，因此不能凭空生成摘要或风险判定。请补充以下任意一项信息后，我会继续处理：
1. **今日检查摘要**：原始报告、表格、日志链接或文本粘贴；
2. **案例清单**：包含各案例的风险等级、状态、时间等字段的数据；
3. **数据源/接口**：如果你已配置可查询的 API 或文件路径，请告知如何调用。
收到信息后，我可以按你的要求：
- 汇总今日检查情况；
- 筛选出高风险案例；
- 按你指定的顺序（默认按风险从高到低）打开第 2 个案例，并解释其风险点、原因及可能影响。
注意：我的风险分析仅基于你提供的数据，不代表最终业务结论。请补充必要信息后继续。</x:v>
      </x:c>
      <x:c r="X32" s="15" t="str">
        <x:v>已通过当前 Docker 平台执行</x:v>
      </x:c>
    </x:row>
    <x:row r="33" ht="34" customHeight="1">
      <x:c r="A33" s="15" t="str">
        <x:v>TC-032</x:v>
      </x:c>
      <x:c r="B33" s="15" t="str">
        <x:v>Admin / signed in</x:v>
      </x:c>
      <x:c r="C33" s="15" t="str">
        <x:v>Dimension pivot</x:v>
      </x:c>
      <x:c r="D33" s="15" t="str">
        <x:v>Admin multi-turn</x:v>
      </x:c>
      <x:c r="E33" s="15" t="str">
        <x:v>ar</x:v>
      </x:c>
      <x:c r="F33" s="15" t="str">
        <x:v>1. ما هو اتجاه وقت معالجة الطلبات؟
2. قسّمه حسب الإمارة.
3. اعرض الربع الثاني فقط.</x:v>
      </x:c>
      <x:c r="G33" s="15" t="str">
        <x:v>Refine the same analysis by emirate and Q2, returning an Arabic explanation.</x:v>
      </x:c>
      <x:c r="H33" s="15" t="str">
        <x:v>Arabic/RTL response; retains metric and filters; labels time/data basis.</x:v>
      </x:c>
      <x:c r="I33" s="15" t="str">
        <x:v>admin_analytics</x:v>
      </x:c>
      <x:c r="J33" s="15" t="str">
        <x:v>admin_analytics</x:v>
      </x:c>
      <x:c r="K33" s="15" t="str">
        <x:v>是</x:v>
      </x:c>
      <x:c r="L33" s="15" t="str">
        <x:v>data_query</x:v>
      </x:c>
      <x:c r="M33" s="15" t="str">
        <x:v>answer</x:v>
      </x:c>
      <x:c r="N33" s="15" t="str">
        <x:v>否</x:v>
      </x:c>
      <x:c r="O33" s="15" t="str"/>
      <x:c r="P33" s="23" t="str"/>
      <x:c r="Q33" s="15" t="str"/>
      <x:c r="R33" s="15" t="str">
        <x:v>否</x:v>
      </x:c>
      <x:c r="S33" s="15" t="str">
        <x:v>是</x:v>
      </x:c>
      <x:c r="T33" s="23" t="n">
        <x:v>5</x:v>
      </x:c>
      <x:c r="U33" s="23" t="n">
        <x:v>10032</x:v>
      </x:c>
      <x:c r="V33" s="15" t="str">
        <x:v>否</x:v>
      </x:c>
      <x:c r="W33" s="15" t="str">
        <x:v>لا يمكنني حاليًا حساب “اتجاه وقت معالجة الطلبات” أو تقسيمه حسب الإمارة، لأنه لا توجد بيانات أو مصدر بيانات متاح في هذه الجلسة. لا أملك أي مجموعة بيانات مرتبطة تحتوي على الطلبات أو أوقات المعالجة.
لإتمام هذا التحليل، يرجى تزويدي بما يلي:
1. **مصدر البيانات**  
   - ملف بصيغة CSV أو Excel، أو  
   - اتصال بقاعدة بيانات يتضمن على الأقل:  
     - تاريخ تقديم الطلب  
     - تاريخ المعالجة (أو زمن المعالجة مباشرةً)  
     - الإمارة  
2. **توضيح المقصود بالربع الثاني**  
   - هل هو الربع الثاني من سنة محددة (مثل Q2 2025)؟  
   - أم جميع فترات الربع الثاني عبر السنوات المتاحة؟
بمجرد توفر البيانات، سأقوم بالتحليل على النحو التالي:
- حساب متوسط أو وسيط زمن المعالجة لكل شهر/ربع.  
- تحديد الاتجاه العام (متزايد/مستقر/متناقص) باستخدام مقارنة الفترات أو الانحدار الخطي.  
- تقسيم النتائج حسب الإمارة، وعرض بيانات الربع الثاني فقط.
يرجى إرفاق البيانات أو تحديد مصدرها، وسأتابع فورًا.</x:v>
      </x:c>
      <x:c r="X33" s="15" t="str">
        <x:v>已通过当前 Docker 平台执行</x:v>
      </x:c>
    </x:row>
    <x:row r="34" ht="34" customHeight="1">
      <x:c r="A34" s="15" t="str">
        <x:v>TC-033</x:v>
      </x:c>
      <x:c r="B34" s="15" t="str">
        <x:v>Admin / signed in</x:v>
      </x:c>
      <x:c r="C34" s="15" t="str">
        <x:v>Policy comparison</x:v>
      </x:c>
      <x:c r="D34" s="15" t="str">
        <x:v>Admin analysis</x:v>
      </x:c>
      <x:c r="E34" s="15" t="str">
        <x:v>en</x:v>
      </x:c>
      <x:c r="F34" s="15" t="str">
        <x:v>Compare the 2017 and 2023 media advertising rules. What changed for licensees?</x:v>
      </x:c>
      <x:c r="G34" s="15" t="str">
        <x:v>Show key differences, effective dates and operational impact with citations.</x:v>
      </x:c>
      <x:c r="H34" s="15" t="str">
        <x:v>Separates source text from interpretation; flags version boundaries.</x:v>
      </x:c>
      <x:c r="I34" s="15" t="str">
        <x:v>latest_regulations</x:v>
      </x:c>
      <x:c r="J34" s="15" t="str">
        <x:v>latest_regulations</x:v>
      </x:c>
      <x:c r="K34" s="15" t="str">
        <x:v>是</x:v>
      </x:c>
      <x:c r="L34" s="15" t="str">
        <x:v>knowledge</x:v>
      </x:c>
      <x:c r="M34" s="15" t="str">
        <x:v>summary</x:v>
      </x:c>
      <x:c r="N34" s="15" t="str">
        <x:v>是</x:v>
      </x:c>
      <x:c r="O34" s="15" t="str">
        <x:v>bm25, graph, vector</x:v>
      </x:c>
      <x:c r="P34" s="23" t="n">
        <x:v>32</x:v>
      </x:c>
      <x:c r="Q34" s="15" t="str">
        <x:v>knowledge.search</x:v>
      </x:c>
      <x:c r="R34" s="15" t="str">
        <x:v>是</x:v>
      </x:c>
      <x:c r="S34" s="15" t="str">
        <x:v>是</x:v>
      </x:c>
      <x:c r="T34" s="23" t="n">
        <x:v>5</x:v>
      </x:c>
      <x:c r="U34" s="23" t="n">
        <x:v>21584</x:v>
      </x:c>
      <x:c r="V34" s="15" t="str">
        <x:v>否</x:v>
      </x:c>
      <x:c r="W34" s="15" t="str">
        <x:v>根据当前知识库检索结果，**没有找到2017年媒体广告规则的任何文件**（仅发现2016年自由区媒体服务费用决议、2020年文化部服务费决议等，均与广告规则无关）。因此，**我无法基于证据进行 2017 vs 2023 的直接对比**。
如果您能提供2017年具体规则的文件名/编号（或将其上传到知识库），我可立即为您做逐条对比。
---
作为参考，以下是现有知识库中 **2023年媒体法（FDL 55/2023）及2024年执行条例（Cabinet Resolution 68/2024）** 对持牌人（licensees）在媒体/广告方面的核心要求：
- **广告活动需取得许可**：电影/广告设计制作、广告咨询、视频/音频制品销售传播等列为“其他媒体活动”，须获 UAE Media Council 或主管当局许可。
- **内容标准收紧**：广告内容必须尊重阿联酋文化、身份和价值观；不得美化与阿联酋利益相悖的团体；须遵守年龄分级制度；尊重儿童权利。
- **许可申请条件**：申请人须具备完全法律行为能力、良好声誉、无相关犯罪记录；提交ID、商号注册证、章程、总经理任命函等。
- **审批时限**：符合条件的许可申请，决定时限为 **3个工作日**（可因须其他部门批准而延期）。
- **剧本/系列剧审批**：拍摄前须获得剧本批准。
- **外国媒体内容许可**：印刷、发行、出版外国媒体内容须单独申请许可。
若需确认与2017年规则的具体差异，请提供2017年文件，我会马上检索并对比。</x:v>
      </x:c>
      <x:c r="X34" s="15" t="str">
        <x:v>已通过当前 Docker 平台执行</x:v>
      </x:c>
    </x:row>
    <x:row r="35" ht="34" customHeight="1">
      <x:c r="A35" s="15" t="str">
        <x:v>TC-034</x:v>
      </x:c>
      <x:c r="B35" s="15" t="str">
        <x:v>Admin / signed in</x:v>
      </x:c>
      <x:c r="C35" s="15" t="str">
        <x:v>Finance trend analysis</x:v>
      </x:c>
      <x:c r="D35" s="15" t="str">
        <x:v>Admin analysis</x:v>
      </x:c>
      <x:c r="E35" s="15" t="str">
        <x:v>en</x:v>
      </x:c>
      <x:c r="F35" s="15" t="str">
        <x:v>1. Show today's revenue and fine collection.
2. Compare it with the last 7 days.
3. What needs attention?</x:v>
      </x:c>
      <x:c r="G35" s="15" t="str">
        <x:v>Return current metrics, trend comparison and evidence-based attention points.</x:v>
      </x:c>
      <x:c r="H35" s="15" t="str">
        <x:v>Uses the same time basis; does not invent causes; recommendations remain advisory.</x:v>
      </x:c>
      <x:c r="I35" s="15" t="str">
        <x:v>admin_finance</x:v>
      </x:c>
      <x:c r="J35" s="15" t="str">
        <x:v>admin_finance</x:v>
      </x:c>
      <x:c r="K35" s="15" t="str">
        <x:v>是</x:v>
      </x:c>
      <x:c r="L35" s="15" t="str">
        <x:v>data_query</x:v>
      </x:c>
      <x:c r="M35" s="15" t="str">
        <x:v>answer</x:v>
      </x:c>
      <x:c r="N35" s="15" t="str">
        <x:v>否</x:v>
      </x:c>
      <x:c r="O35" s="15" t="str"/>
      <x:c r="P35" s="23" t="str"/>
      <x:c r="Q35" s="15" t="str"/>
      <x:c r="R35" s="15" t="str">
        <x:v>否</x:v>
      </x:c>
      <x:c r="S35" s="15" t="str">
        <x:v>是</x:v>
      </x:c>
      <x:c r="T35" s="23" t="n">
        <x:v>5</x:v>
      </x:c>
      <x:c r="U35" s="23" t="n">
        <x:v>11371</x:v>
      </x:c>
      <x:c r="V35" s="15" t="str">
        <x:v>否</x:v>
      </x:c>
      <x:c r="W35" s="15" t="str">
        <x:v>抱歉，我当前**无法直接访问实时业务数据**，因此不能展示今日收入、罚款金额或与过去7天做对比，也不会编造任何数字。  
请先补充必要信息，任选其一：
1. **数据源/接口**：提供 DSH Runtime 财务/对账查询的 API、数据库表名或报表文件；  
2. **直接粘贴数据**：提供今日收入、今日罚款，以及最近 7 天（含今日）每日收入和罚款数据；  
3. **上传导出报表**（CSV/Excel/PDF 等）。  
另外，请确认两个口径：  
- **“罚款收集”** 指已收金额还是罚款笔数？  
- **收入** 是否已扣除退款/冲销？  
获得数据后，我可以立即帮你：
- 计算今日收入、罚款金额；  
- 对比最近 7 天的日均、环比、极值和波动；  
- 标注需要关注的点，例如：  
  - 今日收入是否明显低于近 7 日均值；  
  - 罚款收取率是否下降或积压；  
  - 是否有某天数据异常（突增/突减）；  
  - 是否存在应关注而未处理的罚款记录。
请补充上述信息后继续。</x:v>
      </x:c>
      <x:c r="X35" s="15" t="str">
        <x:v>已通过当前 Docker 平台执行</x:v>
      </x:c>
    </x:row>
    <x:row r="36" ht="34" customHeight="1">
      <x:c r="A36" s="15" t="str">
        <x:v>TC-035</x:v>
      </x:c>
      <x:c r="B36" s="15" t="str">
        <x:v>Admin / signed in</x:v>
      </x:c>
      <x:c r="C36" s="15" t="str">
        <x:v>Audit and permissions</x:v>
      </x:c>
      <x:c r="D36" s="15" t="str">
        <x:v>Admin analysis</x:v>
      </x:c>
      <x:c r="E36" s="15" t="str">
        <x:v>en</x:v>
      </x:c>
      <x:c r="F36" s="15" t="str">
        <x:v>1. Show recent AI answers to fine queries.
2. Filter to low-confidence answers.
3. Can I view the full user details?</x:v>
      </x:c>
      <x:c r="G36" s="15" t="str">
        <x:v>Return permitted audit records, filter by confidence, and explain any masking/permission boundary.</x:v>
      </x:c>
      <x:c r="H36" s="15" t="str">
        <x:v>Applies RBAC; masks sensitive data; logs the audit query.</x:v>
      </x:c>
      <x:c r="I36" s="15" t="str">
        <x:v>admin_audit</x:v>
      </x:c>
      <x:c r="J36" s="15" t="str">
        <x:v>admin_audit</x:v>
      </x:c>
      <x:c r="K36" s="15" t="str">
        <x:v>是</x:v>
      </x:c>
      <x:c r="L36" s="15" t="str">
        <x:v>data_query</x:v>
      </x:c>
      <x:c r="M36" s="15" t="str">
        <x:v>answer</x:v>
      </x:c>
      <x:c r="N36" s="15" t="str">
        <x:v>否</x:v>
      </x:c>
      <x:c r="O36" s="15" t="str"/>
      <x:c r="P36" s="23" t="str"/>
      <x:c r="Q36" s="15" t="str"/>
      <x:c r="R36" s="15" t="str">
        <x:v>否</x:v>
      </x:c>
      <x:c r="S36" s="15" t="str">
        <x:v>是</x:v>
      </x:c>
      <x:c r="T36" s="23" t="n">
        <x:v>5</x:v>
      </x:c>
      <x:c r="U36" s="23" t="n">
        <x:v>8906</x:v>
      </x:c>
      <x:c r="V36" s="15" t="str">
        <x:v>否</x:v>
      </x:c>
      <x:c r="W36" s="15" t="str">
        <x:v>To proceed, I need clarification on the target system and your access scope. Below is what I can confirm and what I need from you.
**Current limitations (no tool evidence available in this session):**
- I don't have direct visibility into any "AI answers / fine queries" dataset, nor a confidence-score filter, nor a user-detail repository. These operations require an interface/API I haven't been granted evidence for.
- Without the actual tool, I won't fabricate query counts, confidence thresholds, or user records.
**To continue, please supply:**
1. Which system is the source for "fine queries"? (e.g., DSH dashboard, a specific API endpoint, a log export)
2. What defines "fine queries" in your context? (e.g., valid/approved queries, a category name, a dataset label)
3. For user details: do you have explicit authorization for this data? Full user details (PII) typically require role-based access and a verified business justification—please confirm your permission level.
Once you provide these, I can route to the correct skill/tool and produce the requested list (recent answers → low-confidence filter) with a preview before any export or data access is executed.
Please provide the necessary information to continue.</x:v>
      </x:c>
      <x:c r="X36" s="15" t="str">
        <x:v>已通过当前 Docker 平台执行</x:v>
      </x:c>
    </x:row>
    <x:row r="37" ht="34" customHeight="1">
      <x:c r="A37" s="15" t="str">
        <x:v>TC-036</x:v>
      </x:c>
      <x:c r="B37" s="15" t="str">
        <x:v>Customer / signed in</x:v>
      </x:c>
      <x:c r="C37" s="15" t="str">
        <x:v>Receipt image query</x:v>
      </x:c>
      <x:c r="D37" s="15" t="str">
        <x:v>Image + workflow</x:v>
      </x:c>
      <x:c r="E37" s="15" t="str">
        <x:v>en</x:v>
      </x:c>
      <x:c r="F37" s="15" t="str">
        <x:v>[Upload IMG-02] Was this payment successful, and where can I find the receipt?</x:v>
      </x:c>
      <x:c r="G37" s="15" t="str">
        <x:v>Read visible payment fields, state confidence, and point to receipt/payment history.</x:v>
      </x:c>
      <x:c r="H37" s="15" t="str">
        <x:v>No invented unreadable values; reconcile image with account data.</x:v>
      </x:c>
      <x:c r="I37" s="15" t="str">
        <x:v>document_ocr</x:v>
      </x:c>
      <x:c r="J37" s="15" t="str">
        <x:v>document_ocr</x:v>
      </x:c>
      <x:c r="K37" s="15" t="str">
        <x:v>是</x:v>
      </x:c>
      <x:c r="L37" s="15" t="str">
        <x:v>api_call</x:v>
      </x:c>
      <x:c r="M37" s="15" t="str">
        <x:v>collect</x:v>
      </x:c>
      <x:c r="N37" s="15" t="str">
        <x:v>否</x:v>
      </x:c>
      <x:c r="O37" s="15" t="str"/>
      <x:c r="P37" s="23" t="str"/>
      <x:c r="Q37" s="15" t="str"/>
      <x:c r="R37" s="15" t="str">
        <x:v>否</x:v>
      </x:c>
      <x:c r="S37" s="15" t="str">
        <x:v>是</x:v>
      </x:c>
      <x:c r="T37" s="23" t="n">
        <x:v>5</x:v>
      </x:c>
      <x:c r="U37" s="23" t="n">
        <x:v>15990</x:v>
      </x:c>
      <x:c r="V37" s="15" t="str">
        <x:v>是</x:v>
      </x:c>
      <x:c r="W37" s="15" t="str">
        <x:v>您好！我已收到您上传的图片 **IMG-02**，但当前系统未能识别该文件的类型和内容，无法直接从中判断支付是否成功。同时，我也没有访问您支付账户的权限，因此不能擅自给出“成功/失败”的结论。
请先补充以下必要信息，以便继续处理：
- **file**：请确认或重新上传文件（如 IMG-02）。
- **file_type**：该文件的类型（例如 `image/jpeg`、`image/png`）。
补充后，我将结合可用的支付记录工具为您核实。如果您手头有**交易单号或订单号**，也可以一并提供，有助于更准确定位。
关于收据位置：通常可在支付平台的“交易明细/电子回单”中下载，或通过支付成功后的邮件、短信获取。但具体路径需确认您使用的支付渠道后才能进一步查询。
请补充信息，谢谢！</x:v>
      </x:c>
      <x:c r="X37" s="15" t="str">
        <x:v>图片未上传，仅验证 OCR 路由和恢复提示</x:v>
      </x:c>
    </x:row>
    <x:row r="38" ht="34" customHeight="1">
      <x:c r="A38" s="15" t="str">
        <x:v>TC-037</x:v>
      </x:c>
      <x:c r="B38" s="15" t="str">
        <x:v>Customer / signed in</x:v>
      </x:c>
      <x:c r="C38" s="15" t="str">
        <x:v>Status screenshot query</x:v>
      </x:c>
      <x:c r="D38" s="15" t="str">
        <x:v>Image + workflow</x:v>
      </x:c>
      <x:c r="E38" s="15" t="str">
        <x:v>en</x:v>
      </x:c>
      <x:c r="F38" s="15" t="str">
        <x:v>[Upload IMG-03] What does this application status mean, and what should I do next?</x:v>
      </x:c>
      <x:c r="G38" s="15" t="str">
        <x:v>Extract the status label and explain the next step using the user's application context.</x:v>
      </x:c>
      <x:c r="H38" s="15" t="str">
        <x:v>Correctly separates OCR from account data; asks for clarification if IDs conflict.</x:v>
      </x:c>
      <x:c r="I38" s="15" t="str">
        <x:v>document_ocr</x:v>
      </x:c>
      <x:c r="J38" s="15" t="str">
        <x:v>document_ocr</x:v>
      </x:c>
      <x:c r="K38" s="15" t="str">
        <x:v>是</x:v>
      </x:c>
      <x:c r="L38" s="15" t="str">
        <x:v>api_call</x:v>
      </x:c>
      <x:c r="M38" s="15" t="str">
        <x:v>collect</x:v>
      </x:c>
      <x:c r="N38" s="15" t="str">
        <x:v>否</x:v>
      </x:c>
      <x:c r="O38" s="15" t="str"/>
      <x:c r="P38" s="23" t="str"/>
      <x:c r="Q38" s="15" t="str"/>
      <x:c r="R38" s="15" t="str">
        <x:v>否</x:v>
      </x:c>
      <x:c r="S38" s="15" t="str">
        <x:v>是</x:v>
      </x:c>
      <x:c r="T38" s="23" t="n">
        <x:v>5</x:v>
      </x:c>
      <x:c r="U38" s="23" t="n">
        <x:v>2552</x:v>
      </x:c>
      <x:c r="V38" s="15" t="str">
        <x:v>是</x:v>
      </x:c>
      <x:c r="W38" s="15" t="str">
        <x:v>我目前没有收到或无法直接查看您上传的图片（IMG-03），因此无法针对图片中的具体内容判断申请状态的含义。
为了给您准确的分析和下一步建议，麻烦补充以下信息之一：
1. **图片中的申请状态文字**（例如：Pending、Under Review、Approved、Rejected 等）；
2. **申请类型**（签证、学历认证、社保、银行开户、政府补贴等）；
3. **办理机构**（哪个国家/部门/平台）。
收到这些信息后，我会为您解释该状态的含义，并列出下一步操作指引（包括所需材料和可能的处理时长）。
请补充必要信息后继续。</x:v>
      </x:c>
      <x:c r="X38" s="15" t="str">
        <x:v>图片未上传，仅验证 OCR 路由和恢复提示</x:v>
      </x:c>
    </x:row>
    <x:row r="39" ht="34" customHeight="1">
      <x:c r="A39" s="15" t="str">
        <x:v>TC-038</x:v>
      </x:c>
      <x:c r="B39" s="15" t="str">
        <x:v>Customer / signed in</x:v>
      </x:c>
      <x:c r="C39" s="15" t="str">
        <x:v>Permit notice query</x:v>
      </x:c>
      <x:c r="D39" s="15" t="str">
        <x:v>Image + workflow</x:v>
      </x:c>
      <x:c r="E39" s="15" t="str">
        <x:v>en</x:v>
      </x:c>
      <x:c r="F39" s="15" t="str">
        <x:v>[Upload IMG-06] When does this license expire and when can I renew it?</x:v>
      </x:c>
      <x:c r="G39" s="15" t="str">
        <x:v>Extract expiry information and explain the applicable renewal route.</x:v>
      </x:c>
      <x:c r="H39" s="15" t="str">
        <x:v>Checks date confidence; does not treat a screenshot as proof of current account state.</x:v>
      </x:c>
      <x:c r="I39" s="15" t="str">
        <x:v>document_ocr</x:v>
      </x:c>
      <x:c r="J39" s="15" t="str">
        <x:v>document_ocr</x:v>
      </x:c>
      <x:c r="K39" s="15" t="str">
        <x:v>是</x:v>
      </x:c>
      <x:c r="L39" s="15" t="str">
        <x:v>api_call</x:v>
      </x:c>
      <x:c r="M39" s="15" t="str">
        <x:v>collect</x:v>
      </x:c>
      <x:c r="N39" s="15" t="str">
        <x:v>否</x:v>
      </x:c>
      <x:c r="O39" s="15" t="str"/>
      <x:c r="P39" s="23" t="str"/>
      <x:c r="Q39" s="15" t="str"/>
      <x:c r="R39" s="15" t="str">
        <x:v>否</x:v>
      </x:c>
      <x:c r="S39" s="15" t="str">
        <x:v>是</x:v>
      </x:c>
      <x:c r="T39" s="23" t="n">
        <x:v>5</x:v>
      </x:c>
      <x:c r="U39" s="23" t="n">
        <x:v>10667</x:v>
      </x:c>
      <x:c r="V39" s="15" t="str">
        <x:v>是</x:v>
      </x:c>
      <x:c r="W39" s="15" t="str">
        <x:v>您好，我已收到您上传的图片（IMG-06），但当前工具环境无法直接读取图片内的文字内容（如证件编号、发证机关、有效期等）。
**限制说明：** 在没有读取到可信的证照文字信息之前，我无法确定该证件的具体到期日，也不会根据图片外观猜测或编造任何日期或续签规则。
为了准确回答您的问题，请您补充以下必要信息（任选其一）：
1. **直接输入图片中的文字**：例如“证件类型、证件号码、有效期至 XXXX年XX月XX日、发证机关名称”。
2. **告知证件类型及发证机关**：例如“驾驶证，XX市车管所”或“营业执照，XX区市场监督管理局”，我将依据对应机构的公开规则进行判断。
另外需要提前说明一点：**“renewal（续签）”与“extension（延期）”是两种不同的业务**。
- **续签 (Renewal)**：通常指在原证件有效期届满前后，申领一张新的证件（换发新证）。
- **延期 (Extension)**：通常指在特定条件下，对现有证件的有效期限进行临时或正式的延长，而不换发新卡。
具体您适用于哪种，以及可办理的时间窗口（例如到期前90天内），需要拿到证件的具体信息后，我才能结合对应发证机关的现行规定为您核实。
请提供上述文字信息，我将继续为您处理。</x:v>
      </x:c>
      <x:c r="X39" s="15" t="str">
        <x:v>图片未上传，仅验证 OCR 路由和恢复提示</x:v>
      </x:c>
    </x:row>
    <x:row r="40" ht="34" customHeight="1">
      <x:c r="A40" s="15" t="str">
        <x:v>TC-039</x:v>
      </x:c>
      <x:c r="B40" s="15" t="str">
        <x:v>Public / guest</x:v>
      </x:c>
      <x:c r="C40" s="15" t="str">
        <x:v>Advertiser content image</x:v>
      </x:c>
      <x:c r="D40" s="15" t="str">
        <x:v>Image + KB</x:v>
      </x:c>
      <x:c r="E40" s="15" t="str">
        <x:v>ar</x:v>
      </x:c>
      <x:c r="F40" s="15" t="str">
        <x:v>[Upload IMG-04] هل يحتاج هذا الإعلان على وسائل التواصل إلى تصريح؟</x:v>
      </x:c>
      <x:c r="G40" s="15" t="str">
        <x:v>Explain likely advertiser-permit relevance and content-standard topics in Arabic, with official guidance.</x:v>
      </x:c>
      <x:c r="H40" s="15" t="str">
        <x:v>Arabic response; cautious wording; no final legal determination.</x:v>
      </x:c>
      <x:c r="I40" s="15" t="str">
        <x:v>document_ocr</x:v>
      </x:c>
      <x:c r="J40" s="15" t="str">
        <x:v>document_ocr</x:v>
      </x:c>
      <x:c r="K40" s="15" t="str">
        <x:v>是</x:v>
      </x:c>
      <x:c r="L40" s="15" t="str">
        <x:v>api_call</x:v>
      </x:c>
      <x:c r="M40" s="15" t="str">
        <x:v>collect</x:v>
      </x:c>
      <x:c r="N40" s="15" t="str">
        <x:v>否</x:v>
      </x:c>
      <x:c r="O40" s="15" t="str"/>
      <x:c r="P40" s="23" t="str"/>
      <x:c r="Q40" s="15" t="str"/>
      <x:c r="R40" s="15" t="str">
        <x:v>否</x:v>
      </x:c>
      <x:c r="S40" s="15" t="str">
        <x:v>是</x:v>
      </x:c>
      <x:c r="T40" s="23" t="n">
        <x:v>5</x:v>
      </x:c>
      <x:c r="U40" s="23" t="n">
        <x:v>11225</x:v>
      </x:c>
      <x:c r="V40" s="15" t="str">
        <x:v>是</x:v>
      </x:c>
      <x:c r="W40" s="15" t="str">
        <x:v>أهلاً! استلمت إشارة الصورة `IMG-04`، لكن لا يمكنني رؤية محتواها مباشرة في هذا النظام لتحليل نوع الإعلان أو تفاصيله. لتحديد ما إذا كان إعلانك على وسائل التواصل يحتاج إلى تصريح، أحتاج إلى معلومات إضافية.
**يرجى تزويدي بالآتي:**
1. **الملف** (إعادة رفع الصورة أو مقطع الإعلان)
2. **نوع الملف** (صورة/فيديو/نص إعلاني)
3. وصف مختصر: ما هو المنتج أو الخدمة المعلَن عنها؟
4. السوق المستهدف (الدولة/المنطقة) والمنصة المستخدمة (سناب شات، إنستغرام، تيك توك... إلخ)
بمجرد توفر هذه المعلومات، سأحلل المتطلبات وفقًا للوائح الإعلامية المحلية (مثل الهيئة العامة للإعلام المرئي والمسموع أو الجهة المختصة في بلدك) وأخبرك ما إذا كان التصريح مطلوبًا أو معفيًا.
⚠️ ملاحظة: لا أستطيع تقديم حكم قانوني نهائي بدون الاطلاع على محتوى الإعلان وبياناته، والتأكد من الجهة التنظيمية المختصة.
```json
{
  "required": true,
  "prompt": "يرجى استكمال المعلومات اللازمة للمتابعة.",
  "fields": ["file", "file_type"],
  "choices": [],
  "confirmationRequired": false
}
```</x:v>
      </x:c>
      <x:c r="X40" s="15" t="str">
        <x:v>图片未上传，仅验证 OCR 路由和恢复提示</x:v>
      </x:c>
    </x:row>
    <x:row r="41" ht="34" customHeight="1">
      <x:c r="A41" s="15" t="str">
        <x:v>TC-040</x:v>
      </x:c>
      <x:c r="B41" s="15" t="str">
        <x:v>Public / guest</x:v>
      </x:c>
      <x:c r="C41" s="15" t="str">
        <x:v>Low-quality document recovery</x:v>
      </x:c>
      <x:c r="D41" s="15" t="str">
        <x:v>Image recovery</x:v>
      </x:c>
      <x:c r="E41" s="15" t="str">
        <x:v>en</x:v>
      </x:c>
      <x:c r="F41" s="15" t="str">
        <x:v>[Upload IMG-05] Please tell me the permit reference and expiry date.</x:v>
      </x:c>
      <x:c r="G41" s="15" t="str">
        <x:v>State that the image is not reliable enough and request a clearer upload or manual entry.</x:v>
      </x:c>
      <x:c r="H41" s="15" t="str">
        <x:v>Does not hallucinate fields; gives a useful recovery path.</x:v>
      </x:c>
      <x:c r="I41" s="15" t="str">
        <x:v>document_ocr</x:v>
      </x:c>
      <x:c r="J41" s="15" t="str">
        <x:v>document_ocr</x:v>
      </x:c>
      <x:c r="K41" s="15" t="str">
        <x:v>是</x:v>
      </x:c>
      <x:c r="L41" s="15" t="str">
        <x:v>api_call</x:v>
      </x:c>
      <x:c r="M41" s="15" t="str">
        <x:v>collect</x:v>
      </x:c>
      <x:c r="N41" s="15" t="str">
        <x:v>否</x:v>
      </x:c>
      <x:c r="O41" s="15" t="str"/>
      <x:c r="P41" s="23" t="str"/>
      <x:c r="Q41" s="15" t="str"/>
      <x:c r="R41" s="15" t="str">
        <x:v>否</x:v>
      </x:c>
      <x:c r="S41" s="15" t="str">
        <x:v>是</x:v>
      </x:c>
      <x:c r="T41" s="23" t="n">
        <x:v>5</x:v>
      </x:c>
      <x:c r="U41" s="23" t="n">
        <x:v>5590</x:v>
      </x:c>
      <x:c r="V41" s="15" t="str">
        <x:v>是</x:v>
      </x:c>
      <x:c r="W41" s="15" t="str">
        <x:v>抱歉，我无法直接查看或解析您上传的图片（IMG-05），因此无法从中提取许可参考号或到期日。
请您手动输入或粘贴证件上的关键信息，例如：
- **Permit Reference / 许可参考号**
- **Expiry Date / 到期日**
这样我才能帮您进一步判断或核实。如涉及特定系统的查询，也需要您提供相应文书类型或文件格式（如 PDF 文本），我才能继续协助。</x:v>
      </x:c>
      <x:c r="X41" s="15" t="str">
        <x:v>图片未上传，仅验证 OCR 路由和恢复提示</x:v>
      </x:c>
    </x:row>
  </x:sheetData>
  <x:conditionalFormatting sqref="T2:T41">
    <x:cfRule type="colorScale" priority="1">
      <x:colorScale>
        <x:cfvo type="min"/>
        <x:cfvo type="percentile" val="50"/>
        <x:cfvo type="max"/>
        <x:color rgb="FFF8696B"/>
        <x:color rgb="FFFFEB84"/>
        <x:color rgb="FF63BE7B"/>
      </x:colorScale>
    </x:cfRule>
  </x:conditionalFormatting>
  <x:conditionalFormatting sqref="K2:K41">
    <x:cfRule type="containsText" dxfId="0" priority="2" operator="containsText" text="否"/>
  </x:conditionalFormatting>
  <x:conditionalFormatting sqref="R2:R41">
    <x:cfRule type="containsText" dxfId="1" priority="3" operator="containsText" text="是"/>
  </x:conditionalFormatting>
  <x:conditionalFormatting sqref="V2:V41">
    <x:cfRule type="containsText" dxfId="2" priority="4" operator="containsText" text="是"/>
  </x:conditionalFormatting>
  <x:pageMargins left="0.7" right="0.7" top="0.75" bottom="0.75" header="0.3" footer="0.3"/>
  <x:tableParts count="1">
    <x:tablePart xmlns:r="http://schemas.openxmlformats.org/officeDocument/2006/relationships" r:id="R3b855eab131846d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8" hidden="0" customWidth="1"/>
    <x:col min="2" max="2" width="18" hidden="0" customWidth="1"/>
    <x:col min="3" max="3" width="10" hidden="0" customWidth="1"/>
    <x:col min="4" max="4" width="12" hidden="0" customWidth="1"/>
    <x:col min="5" max="5" width="12" hidden="0" customWidth="1"/>
    <x:col min="6" max="6" width="14" hidden="0" customWidth="1"/>
    <x:col min="7" max="7" width="12" hidden="0" customWidth="1"/>
    <x:col min="8" max="8" width="14" hidden="0" customWidth="1"/>
    <x:col min="9" max="9" width="14" hidden="0" customWidth="1"/>
  </x:cols>
  <x:sheetData>
    <x:row r="1" ht="30" customHeight="1">
      <x:c r="A1" s="4" t="str">
        <x:v>Term1 业务覆盖矩阵</x:v>
      </x:c>
      <x:c r="B1" s="4" t="str">
        <x:v>Term1 业务覆盖矩阵</x:v>
      </x:c>
      <x:c r="C1" s="4" t="str">
        <x:v>Term1 业务覆盖矩阵</x:v>
      </x:c>
      <x:c r="D1" s="4" t="str">
        <x:v>Term1 业务覆盖矩阵</x:v>
      </x:c>
      <x:c r="E1" s="4" t="str">
        <x:v>Term1 业务覆盖矩阵</x:v>
      </x:c>
      <x:c r="F1" s="4" t="str">
        <x:v>Term1 业务覆盖矩阵</x:v>
      </x:c>
      <x:c r="G1" s="4" t="str">
        <x:v>Term1 业务覆盖矩阵</x:v>
      </x:c>
      <x:c r="H1" s="4" t="str">
        <x:v>Term1 业务覆盖矩阵</x:v>
      </x:c>
      <x:c r="I1" s="4" t="str">
        <x:v>Term1 业务覆盖矩阵</x:v>
      </x:c>
    </x:row>
    <x:row r="3" ht="30" customHeight="1">
      <x:c r="A3" s="12" t="str">
        <x:v>业务域</x:v>
      </x:c>
      <x:c r="B3" s="12" t="str">
        <x:v>用例范围</x:v>
      </x:c>
      <x:c r="C3" s="12" t="str">
        <x:v>用例数</x:v>
      </x:c>
      <x:c r="D3" s="12" t="str">
        <x:v>English</x:v>
      </x:c>
      <x:c r="E3" s="12" t="str">
        <x:v>العربية</x:v>
      </x:c>
      <x:c r="F3" s="12" t="str">
        <x:v>路由匹配</x:v>
      </x:c>
      <x:c r="G3" s="12" t="str">
        <x:v>Tool 成功</x:v>
      </x:c>
      <x:c r="H3" s="12" t="str">
        <x:v>平均评分</x:v>
      </x:c>
      <x:c r="I3" s="12" t="str">
        <x:v>结论</x:v>
      </x:c>
    </x:row>
    <x:row r="4">
      <x:c r="A4" s="15" t="str">
        <x:v>公共知识库与法规</x:v>
      </x:c>
      <x:c r="B4" s="15" t="str">
        <x:v>TC-001–TC-010</x:v>
      </x:c>
      <x:c r="C4" s="15" t="n">
        <x:f>COUNTIFS('用例明细'!$A$2:$A$41,"&gt;="&amp;"TC-001",'用例明细'!$A$2:$A$41,"&lt;="&amp;"TC-010")</x:f>
        <x:v>10</x:v>
      </x:c>
      <x:c r="D4" s="15" t="n">
        <x:f>COUNTIFS('用例明细'!$A$2:$A$41,"&gt;="&amp;"TC-001",'用例明细'!$A$2:$A$41,"&lt;="&amp;"TC-010",'用例明细'!$E$2:$E$41,"en")</x:f>
        <x:v>9</x:v>
      </x:c>
      <x:c r="E4" s="15" t="n">
        <x:f>COUNTIFS('用例明细'!$A$2:$A$41,"&gt;="&amp;"TC-001",'用例明细'!$A$2:$A$41,"&lt;="&amp;"TC-010",'用例明细'!$E$2:$E$41,"ar")</x:f>
        <x:v>1</x:v>
      </x:c>
      <x:c r="F4" s="15" t="str">
        <x:f>COUNTIFS('用例明细'!$A$2:$A$41,"&gt;="&amp;"TC-001",'用例明细'!$A$2:$A$41,"&lt;="&amp;"TC-010",'用例明细'!$K$2:$K$41,"是")&amp;"/"&amp;C4</x:f>
        <x:v>10/10</x:v>
      </x:c>
      <x:c r="G4" s="15" t="n">
        <x:f>COUNTIFS('用例明细'!$A$2:$A$41,"&gt;="&amp;"TC-001",'用例明细'!$A$2:$A$41,"&lt;="&amp;"TC-010",'用例明细'!$R$2:$R$41,"是")</x:f>
        <x:v>10</x:v>
      </x:c>
      <x:c r="H4" s="24" t="n">
        <x:f>AVERAGEIFS('用例明细'!$T$2:$T$41,'用例明细'!$A$2:$A$41,"&gt;="&amp;"TC-001",'用例明细'!$A$2:$A$41,"&lt;="&amp;"TC-010")</x:f>
        <x:v>5</x:v>
      </x:c>
      <x:c r="I4" s="15" t="str">
        <x:f>IF(AND(F4=C4&amp;"/"&amp;C4,H4&gt;=4),"通过","需关注")</x:f>
        <x:v>通过</x:v>
      </x:c>
    </x:row>
    <x:row r="5">
      <x:c r="A5" s="15" t="str">
        <x:v>客户账户与申请流程</x:v>
      </x:c>
      <x:c r="B5" s="15" t="str">
        <x:v>TC-011–TC-023</x:v>
      </x:c>
      <x:c r="C5" s="15" t="n">
        <x:f>COUNTIFS('用例明细'!$A$2:$A$41,"&gt;="&amp;"TC-011",'用例明细'!$A$2:$A$41,"&lt;="&amp;"TC-023")</x:f>
        <x:v>13</x:v>
      </x:c>
      <x:c r="D5" s="15" t="n">
        <x:f>COUNTIFS('用例明细'!$A$2:$A$41,"&gt;="&amp;"TC-011",'用例明细'!$A$2:$A$41,"&lt;="&amp;"TC-023",'用例明细'!$E$2:$E$41,"en")</x:f>
        <x:v>12</x:v>
      </x:c>
      <x:c r="E5" s="15" t="n">
        <x:f>COUNTIFS('用例明细'!$A$2:$A$41,"&gt;="&amp;"TC-011",'用例明细'!$A$2:$A$41,"&lt;="&amp;"TC-023",'用例明细'!$E$2:$E$41,"ar")</x:f>
        <x:v>1</x:v>
      </x:c>
      <x:c r="F5" s="15" t="str">
        <x:f>COUNTIFS('用例明细'!$A$2:$A$41,"&gt;="&amp;"TC-011",'用例明细'!$A$2:$A$41,"&lt;="&amp;"TC-023",'用例明细'!$K$2:$K$41,"是")&amp;"/"&amp;C5</x:f>
        <x:v>13/13</x:v>
      </x:c>
      <x:c r="G5" s="15" t="n">
        <x:f>COUNTIFS('用例明细'!$A$2:$A$41,"&gt;="&amp;"TC-011",'用例明细'!$A$2:$A$41,"&lt;="&amp;"TC-023",'用例明细'!$R$2:$R$41,"是")</x:f>
        <x:v>3</x:v>
      </x:c>
      <x:c r="H5" s="24" t="n">
        <x:f>AVERAGEIFS('用例明细'!$T$2:$T$41,'用例明细'!$A$2:$A$41,"&gt;="&amp;"TC-011",'用例明细'!$A$2:$A$41,"&lt;="&amp;"TC-023")</x:f>
        <x:v>5</x:v>
      </x:c>
      <x:c r="I5" s="15" t="str">
        <x:f>IF(AND(F5=C5&amp;"/"&amp;C5,H5&gt;=4),"通过","需关注")</x:f>
        <x:v>通过</x:v>
      </x:c>
    </x:row>
    <x:row r="6">
      <x:c r="A6" s="15" t="str">
        <x:v>多轮上下文与跨模块调度</x:v>
      </x:c>
      <x:c r="B6" s="15" t="str">
        <x:v>TC-024–TC-030</x:v>
      </x:c>
      <x:c r="C6" s="15" t="n">
        <x:f>COUNTIFS('用例明细'!$A$2:$A$41,"&gt;="&amp;"TC-024",'用例明细'!$A$2:$A$41,"&lt;="&amp;"TC-030")</x:f>
        <x:v>7</x:v>
      </x:c>
      <x:c r="D6" s="15" t="n">
        <x:f>COUNTIFS('用例明细'!$A$2:$A$41,"&gt;="&amp;"TC-024",'用例明细'!$A$2:$A$41,"&lt;="&amp;"TC-030",'用例明细'!$E$2:$E$41,"en")</x:f>
        <x:v>7</x:v>
      </x:c>
      <x:c r="E6" s="15" t="n">
        <x:f>COUNTIFS('用例明细'!$A$2:$A$41,"&gt;="&amp;"TC-024",'用例明细'!$A$2:$A$41,"&lt;="&amp;"TC-030",'用例明细'!$E$2:$E$41,"ar")</x:f>
        <x:v>0</x:v>
      </x:c>
      <x:c r="F6" s="15" t="str">
        <x:f>COUNTIFS('用例明细'!$A$2:$A$41,"&gt;="&amp;"TC-024",'用例明细'!$A$2:$A$41,"&lt;="&amp;"TC-030",'用例明细'!$K$2:$K$41,"是")&amp;"/"&amp;C6</x:f>
        <x:v>7/7</x:v>
      </x:c>
      <x:c r="G6" s="15" t="n">
        <x:f>COUNTIFS('用例明细'!$A$2:$A$41,"&gt;="&amp;"TC-024",'用例明细'!$A$2:$A$41,"&lt;="&amp;"TC-030",'用例明细'!$R$2:$R$41,"是")</x:f>
        <x:v>6</x:v>
      </x:c>
      <x:c r="H6" s="24" t="n">
        <x:f>AVERAGEIFS('用例明细'!$T$2:$T$41,'用例明细'!$A$2:$A$41,"&gt;="&amp;"TC-024",'用例明细'!$A$2:$A$41,"&lt;="&amp;"TC-030")</x:f>
        <x:v>5</x:v>
      </x:c>
      <x:c r="I6" s="15" t="str">
        <x:f>IF(AND(F6=C6&amp;"/"&amp;C6,H6&gt;=4),"通过","需关注")</x:f>
        <x:v>通过</x:v>
      </x:c>
    </x:row>
    <x:row r="7">
      <x:c r="A7" s="15" t="str">
        <x:v>管理员分析、财务与审计</x:v>
      </x:c>
      <x:c r="B7" s="15" t="str">
        <x:v>TC-031–TC-035</x:v>
      </x:c>
      <x:c r="C7" s="15" t="n">
        <x:f>COUNTIFS('用例明细'!$A$2:$A$41,"&gt;="&amp;"TC-031",'用例明细'!$A$2:$A$41,"&lt;="&amp;"TC-035")</x:f>
        <x:v>5</x:v>
      </x:c>
      <x:c r="D7" s="15" t="n">
        <x:f>COUNTIFS('用例明细'!$A$2:$A$41,"&gt;="&amp;"TC-031",'用例明细'!$A$2:$A$41,"&lt;="&amp;"TC-035",'用例明细'!$E$2:$E$41,"en")</x:f>
        <x:v>4</x:v>
      </x:c>
      <x:c r="E7" s="15" t="n">
        <x:f>COUNTIFS('用例明细'!$A$2:$A$41,"&gt;="&amp;"TC-031",'用例明细'!$A$2:$A$41,"&lt;="&amp;"TC-035",'用例明细'!$E$2:$E$41,"ar")</x:f>
        <x:v>1</x:v>
      </x:c>
      <x:c r="F7" s="15" t="str">
        <x:f>COUNTIFS('用例明细'!$A$2:$A$41,"&gt;="&amp;"TC-031",'用例明细'!$A$2:$A$41,"&lt;="&amp;"TC-035",'用例明细'!$K$2:$K$41,"是")&amp;"/"&amp;C7</x:f>
        <x:v>5/5</x:v>
      </x:c>
      <x:c r="G7" s="15" t="n">
        <x:f>COUNTIFS('用例明细'!$A$2:$A$41,"&gt;="&amp;"TC-031",'用例明细'!$A$2:$A$41,"&lt;="&amp;"TC-035",'用例明细'!$R$2:$R$41,"是")</x:f>
        <x:v>1</x:v>
      </x:c>
      <x:c r="H7" s="24" t="n">
        <x:f>AVERAGEIFS('用例明细'!$T$2:$T$41,'用例明细'!$A$2:$A$41,"&gt;="&amp;"TC-031",'用例明细'!$A$2:$A$41,"&lt;="&amp;"TC-035")</x:f>
        <x:v>5</x:v>
      </x:c>
      <x:c r="I7" s="15" t="str">
        <x:f>IF(AND(F7=C7&amp;"/"&amp;C7,H7&gt;=4),"通过","需关注")</x:f>
        <x:v>通过</x:v>
      </x:c>
    </x:row>
    <x:row r="8">
      <x:c r="A8" s="15" t="str">
        <x:v>图片入口与 OCR 恢复</x:v>
      </x:c>
      <x:c r="B8" s="15" t="str">
        <x:v>TC-036–TC-040</x:v>
      </x:c>
      <x:c r="C8" s="15" t="n">
        <x:f>COUNTIFS('用例明细'!$A$2:$A$41,"&gt;="&amp;"TC-036",'用例明细'!$A$2:$A$41,"&lt;="&amp;"TC-040")</x:f>
        <x:v>5</x:v>
      </x:c>
      <x:c r="D8" s="15" t="n">
        <x:f>COUNTIFS('用例明细'!$A$2:$A$41,"&gt;="&amp;"TC-036",'用例明细'!$A$2:$A$41,"&lt;="&amp;"TC-040",'用例明细'!$E$2:$E$41,"en")</x:f>
        <x:v>4</x:v>
      </x:c>
      <x:c r="E8" s="15" t="n">
        <x:f>COUNTIFS('用例明细'!$A$2:$A$41,"&gt;="&amp;"TC-036",'用例明细'!$A$2:$A$41,"&lt;="&amp;"TC-040",'用例明细'!$E$2:$E$41,"ar")</x:f>
        <x:v>1</x:v>
      </x:c>
      <x:c r="F8" s="15" t="str">
        <x:f>COUNTIFS('用例明细'!$A$2:$A$41,"&gt;="&amp;"TC-036",'用例明细'!$A$2:$A$41,"&lt;="&amp;"TC-040",'用例明细'!$K$2:$K$41,"是")&amp;"/"&amp;C8</x:f>
        <x:v>5/5</x:v>
      </x:c>
      <x:c r="G8" s="15" t="n">
        <x:f>COUNTIFS('用例明细'!$A$2:$A$41,"&gt;="&amp;"TC-036",'用例明细'!$A$2:$A$41,"&lt;="&amp;"TC-040",'用例明细'!$R$2:$R$41,"是")</x:f>
        <x:v>0</x:v>
      </x:c>
      <x:c r="H8" s="24" t="n">
        <x:f>AVERAGEIFS('用例明细'!$T$2:$T$41,'用例明细'!$A$2:$A$41,"&gt;="&amp;"TC-036",'用例明细'!$A$2:$A$41,"&lt;="&amp;"TC-040")</x:f>
        <x:v>5</x:v>
      </x:c>
      <x:c r="I8" s="15" t="str">
        <x:f>IF(AND(F8=C8&amp;"/"&amp;C8,H8&gt;=4),"通过","需关注")</x:f>
        <x:v>通过</x:v>
      </x:c>
    </x:row>
    <x:row r="11">
      <x:c r="A11" s="21" t="str">
        <x:v>覆盖说明：业务域、语言、路由、Tool、5 分技术验收均来自本轮执行结果；图片域只做文本占位入口校验，真实字段抽取需通过界面上传对应 PNG。</x:v>
      </x:c>
      <x:c r="B11" s="21"/>
      <x:c r="C11" s="21"/>
      <x:c r="D11" s="21"/>
      <x:c r="E11" s="21"/>
      <x:c r="F11" s="21"/>
      <x:c r="G11" s="21"/>
      <x:c r="H11" s="21"/>
      <x:c r="I11" s="21"/>
    </x:row>
  </x:sheetData>
  <x:mergeCells>
    <x:mergeCell ref="A1:I1"/>
    <x:mergeCell ref="A11:I11"/>
  </x:mergeCells>
  <x:conditionalFormatting sqref="I4:I8">
    <x:cfRule type="containsText" dxfId="3" priority="1" operator="containsText" text="通过"/>
    <x:cfRule type="containsText" dxfId="4" priority="2" operator="containsText" text="需关注"/>
  </x:conditionalFormatting>
  <x:pageMargins left="0.7" right="0.7" top="0.75" bottom="0.75" header="0.3" footer="0.3"/>
  <x:tableParts count="1">
    <x:tablePart xmlns:r="http://schemas.openxmlformats.org/officeDocument/2006/relationships" r:id="R81cdebb9881846e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34" hidden="0" customWidth="1"/>
    <x:col min="3" max="3" width="22" hidden="0" customWidth="1"/>
    <x:col min="4" max="4" width="52" hidden="0" customWidth="1"/>
    <x:col min="5" max="5" width="28" hidden="0" customWidth="1"/>
    <x:col min="6" max="6" width="12" hidden="0" customWidth="1"/>
    <x:col min="7" max="7" width="34" hidden="0" customWidth="1"/>
    <x:col min="8" max="8" width="38" hidden="0" customWidth="1"/>
  </x:cols>
  <x:sheetData>
    <x:row r="1" ht="30" customHeight="1">
      <x:c r="A1" s="4" t="str">
        <x:v>Term1 图片清单与 OCR 执行状态</x:v>
      </x:c>
      <x:c r="B1" s="4" t="str">
        <x:v>Term1 图片清单与 OCR 执行状态</x:v>
      </x:c>
      <x:c r="C1" s="4" t="str">
        <x:v>Term1 图片清单与 OCR 执行状态</x:v>
      </x:c>
      <x:c r="D1" s="4" t="str">
        <x:v>Term1 图片清单与 OCR 执行状态</x:v>
      </x:c>
      <x:c r="E1" s="4" t="str">
        <x:v>Term1 图片清单与 OCR 执行状态</x:v>
      </x:c>
      <x:c r="F1" s="4" t="str">
        <x:v>Term1 图片清单与 OCR 执行状态</x:v>
      </x:c>
      <x:c r="G1" s="4" t="str">
        <x:v>Term1 图片清单与 OCR 执行状态</x:v>
      </x:c>
      <x:c r="H1" s="4" t="str">
        <x:v>Term1 图片清单与 OCR 执行状态</x:v>
      </x:c>
    </x:row>
    <x:row r="3" ht="30" customHeight="1">
      <x:c r="A3" s="12" t="str">
        <x:v>Image ID</x:v>
      </x:c>
      <x:c r="B3" s="12" t="str">
        <x:v>文件名</x:v>
      </x:c>
      <x:c r="C3" s="12" t="str">
        <x:v>用途</x:v>
      </x:c>
      <x:c r="D3" s="12" t="str">
        <x:v>预期抽取</x:v>
      </x:c>
      <x:c r="E3" s="12" t="str">
        <x:v>关联用例</x:v>
      </x:c>
      <x:c r="F3" s="12" t="str">
        <x:v>文件存在</x:v>
      </x:c>
      <x:c r="G3" s="12" t="str">
        <x:v>本轮状态</x:v>
      </x:c>
      <x:c r="H3" s="12" t="str">
        <x:v>下一步</x:v>
      </x:c>
    </x:row>
    <x:row r="4">
      <x:c r="A4" s="15" t="str">
        <x:v>IMG-01</x:v>
      </x:c>
      <x:c r="B4" s="15" t="str">
        <x:v>img-01-permit-notice.png</x:v>
      </x:c>
      <x:c r="C4" s="15" t="str">
        <x:v>Permit notice</x:v>
      </x:c>
      <x:c r="D4" s="15" t="str">
        <x:v>Permit type, reference and expiry fields</x:v>
      </x:c>
      <x:c r="E4" s="15" t="str">
        <x:v>Future renewal/status cases</x:v>
      </x:c>
      <x:c r="F4" s="15" t="str">
        <x:v>是</x:v>
      </x:c>
      <x:c r="G4" s="15" t="str">
        <x:v>素材已就绪，未纳入本轮</x:v>
      </x:c>
      <x:c r="H4" s="15" t="str">
        <x:v>补充到对应业务回归批次</x:v>
      </x:c>
    </x:row>
    <x:row r="5">
      <x:c r="A5" s="15" t="str">
        <x:v>IMG-02</x:v>
      </x:c>
      <x:c r="B5" s="15" t="str">
        <x:v>img-02-payment-receipt.png</x:v>
      </x:c>
      <x:c r="C5" s="15" t="str">
        <x:v>Payment receipt</x:v>
      </x:c>
      <x:c r="D5" s="15" t="str">
        <x:v>Payment status, amount and receipt reference</x:v>
      </x:c>
      <x:c r="E5" s="15" t="str">
        <x:v>TC-036</x:v>
      </x:c>
      <x:c r="F5" s="15" t="str">
        <x:v>是</x:v>
      </x:c>
      <x:c r="G5" s="15" t="str">
        <x:v>文本占位已执行；未上传二进制</x:v>
      </x:c>
      <x:c r="H5" s="15" t="str">
        <x:v>通过测试界面上传后复测 OCR 字段</x:v>
      </x:c>
    </x:row>
    <x:row r="6">
      <x:c r="A6" s="15" t="str">
        <x:v>IMG-03</x:v>
      </x:c>
      <x:c r="B6" s="15" t="str">
        <x:v>img-03-application-status.png</x:v>
      </x:c>
      <x:c r="C6" s="15" t="str">
        <x:v>Status screenshot</x:v>
      </x:c>
      <x:c r="D6" s="15" t="str">
        <x:v>Application ID and status label</x:v>
      </x:c>
      <x:c r="E6" s="15" t="str">
        <x:v>TC-037</x:v>
      </x:c>
      <x:c r="F6" s="15" t="str">
        <x:v>是</x:v>
      </x:c>
      <x:c r="G6" s="15" t="str">
        <x:v>文本占位已执行；未上传二进制</x:v>
      </x:c>
      <x:c r="H6" s="15" t="str">
        <x:v>通过测试界面上传后复测 OCR 字段</x:v>
      </x:c>
    </x:row>
    <x:row r="7">
      <x:c r="A7" s="15" t="str">
        <x:v>IMG-04</x:v>
      </x:c>
      <x:c r="B7" s="15" t="str">
        <x:v>img-04-social-ad.png</x:v>
      </x:c>
      <x:c r="C7" s="15" t="str">
        <x:v>Content compliance</x:v>
      </x:c>
      <x:c r="D7" s="15" t="str">
        <x:v>Visible ad claim, product/service context, disclosure cue</x:v>
      </x:c>
      <x:c r="E7" s="15" t="str">
        <x:v>TC-039</x:v>
      </x:c>
      <x:c r="F7" s="15" t="str">
        <x:v>是</x:v>
      </x:c>
      <x:c r="G7" s="15" t="str">
        <x:v>文本占位已执行；未上传二进制</x:v>
      </x:c>
      <x:c r="H7" s="15" t="str">
        <x:v>通过测试界面上传后复测 OCR 字段</x:v>
      </x:c>
    </x:row>
    <x:row r="8">
      <x:c r="A8" s="15" t="str">
        <x:v>IMG-05</x:v>
      </x:c>
      <x:c r="B8" s="15" t="str">
        <x:v>img-05-low-quality-document.png</x:v>
      </x:c>
      <x:c r="C8" s="15" t="str">
        <x:v>Failure recovery</x:v>
      </x:c>
      <x:c r="D8" s="15" t="str">
        <x:v>Insufficient quality; request a clearer image</x:v>
      </x:c>
      <x:c r="E8" s="15" t="str">
        <x:v>TC-040</x:v>
      </x:c>
      <x:c r="F8" s="15" t="str">
        <x:v>是</x:v>
      </x:c>
      <x:c r="G8" s="15" t="str">
        <x:v>文本占位已执行；未上传二进制</x:v>
      </x:c>
      <x:c r="H8" s="15" t="str">
        <x:v>通过测试界面上传后复测 OCR 字段</x:v>
      </x:c>
    </x:row>
    <x:row r="9">
      <x:c r="A9" s="15" t="str">
        <x:v>IMG-06</x:v>
      </x:c>
      <x:c r="B9" s="15" t="str">
        <x:v>img-06-license-renewal.png</x:v>
      </x:c>
      <x:c r="C9" s="15" t="str">
        <x:v>License renewal notice</x:v>
      </x:c>
      <x:c r="D9" s="15" t="str">
        <x:v>License number, expiry date and renewal cue</x:v>
      </x:c>
      <x:c r="E9" s="15" t="str">
        <x:v>TC-038</x:v>
      </x:c>
      <x:c r="F9" s="15" t="str">
        <x:v>是</x:v>
      </x:c>
      <x:c r="G9" s="15" t="str">
        <x:v>文本占位已执行；未上传二进制</x:v>
      </x:c>
      <x:c r="H9" s="15" t="str">
        <x:v>通过测试界面上传后复测 OCR 字段</x:v>
      </x:c>
    </x:row>
    <x:row r="10">
      <x:c r="A10" s="15" t="str">
        <x:v>IMG-07</x:v>
      </x:c>
      <x:c r="B10" s="15" t="str">
        <x:v>img-07-fine-notification.png</x:v>
      </x:c>
      <x:c r="C10" s="15" t="str">
        <x:v>Fine notification</x:v>
      </x:c>
      <x:c r="D10" s="15" t="str">
        <x:v>Fine reference, amount and appeal/contact cue</x:v>
      </x:c>
      <x:c r="E10" s="15" t="str">
        <x:v>Future fine appeal case</x:v>
      </x:c>
      <x:c r="F10" s="15" t="str">
        <x:v>是</x:v>
      </x:c>
      <x:c r="G10" s="15" t="str">
        <x:v>素材已就绪，未纳入本轮</x:v>
      </x:c>
      <x:c r="H10" s="15" t="str">
        <x:v>补充到对应业务回归批次</x:v>
      </x:c>
    </x:row>
    <x:row r="11">
      <x:c r="A11" s="15" t="str">
        <x:v>IMG-08</x:v>
      </x:c>
      <x:c r="B11" s="15" t="str">
        <x:v>img-08-enquiry-confirmation.png</x:v>
      </x:c>
      <x:c r="C11" s="15" t="str">
        <x:v>Enquiry confirmation</x:v>
      </x:c>
      <x:c r="D11" s="15" t="str">
        <x:v>Enquiry reference, category and submission date</x:v>
      </x:c>
      <x:c r="E11" s="15" t="str">
        <x:v>Future enquiry follow-up case</x:v>
      </x:c>
      <x:c r="F11" s="15" t="str">
        <x:v>是</x:v>
      </x:c>
      <x:c r="G11" s="15" t="str">
        <x:v>素材已就绪，未纳入本轮</x:v>
      </x:c>
      <x:c r="H11" s="15" t="str">
        <x:v>补充到对应业务回归批次</x:v>
      </x:c>
    </x:row>
    <x:row r="12">
      <x:c r="A12" s="15" t="str">
        <x:v>IMG-09</x:v>
      </x:c>
      <x:c r="B12" s="15" t="str">
        <x:v>img-09-arabic-advertiser-page.png</x:v>
      </x:c>
      <x:c r="C12" s="15" t="str">
        <x:v>Arabic guide screenshot</x:v>
      </x:c>
      <x:c r="D12" s="15" t="str">
        <x:v>Arabic permit title and application headings</x:v>
      </x:c>
      <x:c r="E12" s="15" t="str">
        <x:v>Future Arabic guidance cases</x:v>
      </x:c>
      <x:c r="F12" s="15" t="str">
        <x:v>是</x:v>
      </x:c>
      <x:c r="G12" s="15" t="str">
        <x:v>素材已就绪，未纳入本轮</x:v>
      </x:c>
      <x:c r="H12" s="15" t="str">
        <x:v>补充到对应业务回归批次</x:v>
      </x:c>
    </x:row>
    <x:row r="13">
      <x:c r="A13" s="15" t="str">
        <x:v>IMG-10</x:v>
      </x:c>
      <x:c r="B13" s="15" t="str">
        <x:v>img-10-application-documents.png</x:v>
      </x:c>
      <x:c r="C13" s="15" t="str">
        <x:v>Application document bundle</x:v>
      </x:c>
      <x:c r="D13" s="15" t="str">
        <x:v>Document names and missing-item marker</x:v>
      </x:c>
      <x:c r="E13" s="15" t="str">
        <x:v>Future guided application case</x:v>
      </x:c>
      <x:c r="F13" s="15" t="str">
        <x:v>是</x:v>
      </x:c>
      <x:c r="G13" s="15" t="str">
        <x:v>素材已就绪，未纳入本轮</x:v>
      </x:c>
      <x:c r="H13" s="15" t="str">
        <x:v>补充到对应业务回归批次</x:v>
      </x:c>
    </x:row>
  </x:sheetData>
  <x:mergeCells>
    <x:mergeCell ref="A1:H1"/>
  </x:mergeCells>
  <x:conditionalFormatting sqref="F4:F13">
    <x:cfRule type="containsText" dxfId="5" priority="1" operator="containsText" text="否"/>
  </x:conditionalFormatting>
  <x:pageMargins left="0.7" right="0.7" top="0.75" bottom="0.75" header="0.3" footer="0.3"/>
  <x:tableParts count="1">
    <x:tablePart xmlns:r="http://schemas.openxmlformats.org/officeDocument/2006/relationships" r:id="R35a997e215ef42d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30" hidden="0" customWidth="1"/>
    <x:col min="2" max="2" width="28" hidden="0" customWidth="1"/>
    <x:col min="3" max="3" width="28" hidden="0" customWidth="1"/>
    <x:col min="4" max="4" width="16" hidden="0" customWidth="1"/>
    <x:col min="5" max="5" width="10" hidden="0" customWidth="1"/>
    <x:col min="6" max="6" width="10" hidden="0" customWidth="1"/>
    <x:col min="7" max="7" width="48" hidden="0" customWidth="1"/>
    <x:col min="8" max="8" width="22" hidden="0" customWidth="1"/>
    <x:col min="9" max="9" width="18" hidden="0" customWidth="1"/>
  </x:cols>
  <x:sheetData>
    <x:row r="1" ht="30" customHeight="1">
      <x:c r="A1" s="4" t="str">
        <x:v>DSH 运行配置快照（敏感值已遮罩）</x:v>
      </x:c>
      <x:c r="B1" s="4" t="str">
        <x:v>DSH 运行配置快照（敏感值已遮罩）</x:v>
      </x:c>
      <x:c r="C1" s="4" t="str">
        <x:v>DSH 运行配置快照（敏感值已遮罩）</x:v>
      </x:c>
      <x:c r="D1" s="4" t="str">
        <x:v>DSH 运行配置快照（敏感值已遮罩）</x:v>
      </x:c>
      <x:c r="E1" s="4" t="str">
        <x:v>DSH 运行配置快照（敏感值已遮罩）</x:v>
      </x:c>
      <x:c r="F1" s="4" t="str">
        <x:v>DSH 运行配置快照（敏感值已遮罩）</x:v>
      </x:c>
      <x:c r="G1" s="4" t="str">
        <x:v>DSH 运行配置快照（敏感值已遮罩）</x:v>
      </x:c>
      <x:c r="H1" s="4" t="str">
        <x:v>DSH 运行配置快照（敏感值已遮罩）</x:v>
      </x:c>
      <x:c r="I1" s="4" t="str">
        <x:v>DSH 运行配置快照（敏感值已遮罩）</x:v>
      </x:c>
    </x:row>
    <x:row r="3" ht="30" customHeight="1">
      <x:c r="A3" s="12" t="str">
        <x:v>Key</x:v>
      </x:c>
      <x:c r="B3" s="12" t="str">
        <x:v>名称</x:v>
      </x:c>
      <x:c r="C3" s="12" t="str">
        <x:v>环境变量</x:v>
      </x:c>
      <x:c r="D3" s="12" t="str">
        <x:v>分组</x:v>
      </x:c>
      <x:c r="E3" s="12" t="str">
        <x:v>敏感</x:v>
      </x:c>
      <x:c r="F3" s="12" t="str">
        <x:v>已配置</x:v>
      </x:c>
      <x:c r="G3" s="12" t="str">
        <x:v>当前值</x:v>
      </x:c>
      <x:c r="H3" s="12" t="str">
        <x:v>来源</x:v>
      </x:c>
      <x:c r="I3" s="12" t="str">
        <x:v>生效方式</x:v>
      </x:c>
    </x:row>
    <x:row r="4">
      <x:c r="A4" s="15" t="str">
        <x:v>llm_base_url</x:v>
      </x:c>
      <x:c r="B4" s="15" t="str">
        <x:v>LLM Base URL</x:v>
      </x:c>
      <x:c r="C4" s="15" t="str">
        <x:v>LLM_BASE_URL</x:v>
      </x:c>
      <x:c r="D4" s="15" t="str">
        <x:v>模型</x:v>
      </x:c>
      <x:c r="E4" s="15" t="str">
        <x:v>否</x:v>
      </x:c>
      <x:c r="F4" s="15" t="str">
        <x:v>是</x:v>
      </x:c>
      <x:c r="G4" s="15" t="str">
        <x:v>https://api.deepseek.com</x:v>
      </x:c>
      <x:c r="H4" s="15" t="str">
        <x:v>database</x:v>
      </x:c>
      <x:c r="I4" s="15" t="str">
        <x:v>后续请求热更新</x:v>
      </x:c>
    </x:row>
    <x:row r="5">
      <x:c r="A5" s="15" t="str">
        <x:v>llm_api_key</x:v>
      </x:c>
      <x:c r="B5" s="15" t="str">
        <x:v>LLM API Key</x:v>
      </x:c>
      <x:c r="C5" s="15" t="str">
        <x:v>LLM_API_KEY</x:v>
      </x:c>
      <x:c r="D5" s="15" t="str">
        <x:v>模型</x:v>
      </x:c>
      <x:c r="E5" s="15" t="str">
        <x:v>是</x:v>
      </x:c>
      <x:c r="F5" s="15" t="str">
        <x:v>是</x:v>
      </x:c>
      <x:c r="G5" s="15" t="str">
        <x:v>••••••••</x:v>
      </x:c>
      <x:c r="H5" s="15" t="str">
        <x:v>environment/default</x:v>
      </x:c>
      <x:c r="I5" s="15" t="str">
        <x:v>后续请求热更新</x:v>
      </x:c>
    </x:row>
    <x:row r="6">
      <x:c r="A6" s="15" t="str">
        <x:v>llm_model</x:v>
      </x:c>
      <x:c r="B6" s="15" t="str">
        <x:v>模型名称</x:v>
      </x:c>
      <x:c r="C6" s="15" t="str">
        <x:v>LLM_MODEL</x:v>
      </x:c>
      <x:c r="D6" s="15" t="str">
        <x:v>模型</x:v>
      </x:c>
      <x:c r="E6" s="15" t="str">
        <x:v>否</x:v>
      </x:c>
      <x:c r="F6" s="15" t="str">
        <x:v>是</x:v>
      </x:c>
      <x:c r="G6" s="15" t="str">
        <x:v>deepseek-v4-flash</x:v>
      </x:c>
      <x:c r="H6" s="15" t="str">
        <x:v>database</x:v>
      </x:c>
      <x:c r="I6" s="15" t="str">
        <x:v>后续请求热更新</x:v>
      </x:c>
    </x:row>
    <x:row r="7">
      <x:c r="A7" s="15" t="str">
        <x:v>llm_timeout_seconds</x:v>
      </x:c>
      <x:c r="B7" s="15" t="str">
        <x:v>LLM 超时（秒）</x:v>
      </x:c>
      <x:c r="C7" s="15" t="str">
        <x:v>LLM_TIMEOUT_SECONDS</x:v>
      </x:c>
      <x:c r="D7" s="15" t="str">
        <x:v>模型</x:v>
      </x:c>
      <x:c r="E7" s="15" t="str">
        <x:v>否</x:v>
      </x:c>
      <x:c r="F7" s="15" t="str">
        <x:v>是</x:v>
      </x:c>
      <x:c r="G7" s="15" t="n">
        <x:v>60</x:v>
      </x:c>
      <x:c r="H7" s="15" t="str">
        <x:v>database</x:v>
      </x:c>
      <x:c r="I7" s="15" t="str">
        <x:v>后续请求热更新</x:v>
      </x:c>
    </x:row>
    <x:row r="8">
      <x:c r="A8" s="15" t="str">
        <x:v>database_url</x:v>
      </x:c>
      <x:c r="B8" s="15" t="str">
        <x:v>Database URL</x:v>
      </x:c>
      <x:c r="C8" s="15" t="str">
        <x:v>DATABASE_URL</x:v>
      </x:c>
      <x:c r="D8" s="15" t="str">
        <x:v>基础设施</x:v>
      </x:c>
      <x:c r="E8" s="15" t="str">
        <x:v>是</x:v>
      </x:c>
      <x:c r="F8" s="15" t="str">
        <x:v>是</x:v>
      </x:c>
      <x:c r="G8" s="15" t="str">
        <x:v>••••••••</x:v>
      </x:c>
      <x:c r="H8" s="15" t="str">
        <x:v>environment/default</x:v>
      </x:c>
      <x:c r="I8" s="15" t="str">
        <x:v>重启 Docker</x:v>
      </x:c>
    </x:row>
    <x:row r="9">
      <x:c r="A9" s="15" t="str">
        <x:v>redis_url</x:v>
      </x:c>
      <x:c r="B9" s="15" t="str">
        <x:v>Redis URL</x:v>
      </x:c>
      <x:c r="C9" s="15" t="str">
        <x:v>REDIS_URL</x:v>
      </x:c>
      <x:c r="D9" s="15" t="str">
        <x:v>基础设施</x:v>
      </x:c>
      <x:c r="E9" s="15" t="str">
        <x:v>是</x:v>
      </x:c>
      <x:c r="F9" s="15" t="str">
        <x:v>是</x:v>
      </x:c>
      <x:c r="G9" s="15" t="str">
        <x:v>••••••••</x:v>
      </x:c>
      <x:c r="H9" s="15" t="str">
        <x:v>environment/default</x:v>
      </x:c>
      <x:c r="I9" s="15" t="str">
        <x:v>重启 Docker</x:v>
      </x:c>
    </x:row>
    <x:row r="10">
      <x:c r="A10" s="15" t="str">
        <x:v>knowledge_gateway_url</x:v>
      </x:c>
      <x:c r="B10" s="15" t="str">
        <x:v>知识库 Tool URL</x:v>
      </x:c>
      <x:c r="C10" s="15" t="str">
        <x:v>KNOWLEDGE_GATEWAY_URL</x:v>
      </x:c>
      <x:c r="D10" s="15" t="str">
        <x:v>外部 Tool</x:v>
      </x:c>
      <x:c r="E10" s="15" t="str">
        <x:v>否</x:v>
      </x:c>
      <x:c r="F10" s="15" t="str">
        <x:v>是</x:v>
      </x:c>
      <x:c r="G10" s="15" t="str">
        <x:v>http://knowledge-gateway:8101</x:v>
      </x:c>
      <x:c r="H10" s="15" t="str">
        <x:v>database</x:v>
      </x:c>
      <x:c r="I10" s="15" t="str">
        <x:v>后续请求热更新</x:v>
      </x:c>
    </x:row>
    <x:row r="11">
      <x:c r="A11" s="15" t="str">
        <x:v>knowledge_api_key</x:v>
      </x:c>
      <x:c r="B11" s="15" t="str">
        <x:v>知识库 API Key</x:v>
      </x:c>
      <x:c r="C11" s="15" t="str">
        <x:v>KNOWLEDGE_API_KEY</x:v>
      </x:c>
      <x:c r="D11" s="15" t="str">
        <x:v>外部 Tool</x:v>
      </x:c>
      <x:c r="E11" s="15" t="str">
        <x:v>是</x:v>
      </x:c>
      <x:c r="F11" s="15" t="str">
        <x:v>否</x:v>
      </x:c>
      <x:c r="G11" s="15" t="str"/>
      <x:c r="H11" s="15" t="str">
        <x:v>environment/default</x:v>
      </x:c>
      <x:c r="I11" s="15" t="str">
        <x:v>后续请求热更新</x:v>
      </x:c>
    </x:row>
    <x:row r="12">
      <x:c r="A12" s="15" t="str">
        <x:v>knowledge_default_folder_id</x:v>
      </x:c>
      <x:c r="B12" s="15" t="str">
        <x:v>知识库默认目录 ID</x:v>
      </x:c>
      <x:c r="C12" s="15" t="str">
        <x:v>KNOWLEDGE_DEFAULT_FOLDER_ID</x:v>
      </x:c>
      <x:c r="D12" s="15" t="str">
        <x:v>外部 Tool</x:v>
      </x:c>
      <x:c r="E12" s="15" t="str">
        <x:v>否</x:v>
      </x:c>
      <x:c r="F12" s="15" t="str">
        <x:v>是</x:v>
      </x:c>
      <x:c r="G12" s="15" t="str">
        <x:v>34a89aa7b43b473d8326cf6540fc3894</x:v>
      </x:c>
      <x:c r="H12" s="15" t="str">
        <x:v>database</x:v>
      </x:c>
      <x:c r="I12" s="15" t="str">
        <x:v>后续请求热更新</x:v>
      </x:c>
    </x:row>
    <x:row r="13">
      <x:c r="A13" s="15" t="str">
        <x:v>knowledge_top_k</x:v>
      </x:c>
      <x:c r="B13" s="15" t="str">
        <x:v>知识库 top_k</x:v>
      </x:c>
      <x:c r="C13" s="15" t="str">
        <x:v>KNOWLEDGE_TOP_K</x:v>
      </x:c>
      <x:c r="D13" s="15" t="str">
        <x:v>外部 Tool</x:v>
      </x:c>
      <x:c r="E13" s="15" t="str">
        <x:v>否</x:v>
      </x:c>
      <x:c r="F13" s="15" t="str">
        <x:v>是</x:v>
      </x:c>
      <x:c r="G13" s="15" t="n">
        <x:v>32</x:v>
      </x:c>
      <x:c r="H13" s="15" t="str">
        <x:v>database</x:v>
      </x:c>
      <x:c r="I13" s="15" t="str">
        <x:v>后续请求热更新</x:v>
      </x:c>
    </x:row>
    <x:row r="14">
      <x:c r="A14" s="15" t="str">
        <x:v>knowledge_timeout_seconds</x:v>
      </x:c>
      <x:c r="B14" s="15" t="str">
        <x:v>知识库超时（秒）</x:v>
      </x:c>
      <x:c r="C14" s="15" t="str">
        <x:v>KNOWLEDGE_TIMEOUT_SECONDS</x:v>
      </x:c>
      <x:c r="D14" s="15" t="str">
        <x:v>外部 Tool</x:v>
      </x:c>
      <x:c r="E14" s="15" t="str">
        <x:v>否</x:v>
      </x:c>
      <x:c r="F14" s="15" t="str">
        <x:v>是</x:v>
      </x:c>
      <x:c r="G14" s="15" t="n">
        <x:v>30</x:v>
      </x:c>
      <x:c r="H14" s="15" t="str">
        <x:v>database</x:v>
      </x:c>
      <x:c r="I14" s="15" t="str">
        <x:v>后续请求热更新</x:v>
      </x:c>
    </x:row>
    <x:row r="15">
      <x:c r="A15" s="15" t="str">
        <x:v>platform_gateway_url</x:v>
      </x:c>
      <x:c r="B15" s="15" t="str">
        <x:v>Swagger Tool URL</x:v>
      </x:c>
      <x:c r="C15" s="15" t="str">
        <x:v>PLATFORM_GATEWAY_URL</x:v>
      </x:c>
      <x:c r="D15" s="15" t="str">
        <x:v>外部 Tool</x:v>
      </x:c>
      <x:c r="E15" s="15" t="str">
        <x:v>否</x:v>
      </x:c>
      <x:c r="F15" s="15" t="str">
        <x:v>是</x:v>
      </x:c>
      <x:c r="G15" s="15" t="str">
        <x:v>http://platform-gateway:8102</x:v>
      </x:c>
      <x:c r="H15" s="15" t="str">
        <x:v>database</x:v>
      </x:c>
      <x:c r="I15" s="15" t="str">
        <x:v>后续请求热更新</x:v>
      </x:c>
    </x:row>
    <x:row r="16">
      <x:c r="A16" s="15" t="str">
        <x:v>platform_api_key</x:v>
      </x:c>
      <x:c r="B16" s="15" t="str">
        <x:v>Swagger/API Bearer Token</x:v>
      </x:c>
      <x:c r="C16" s="15" t="str">
        <x:v>PLATFORM_API_KEY</x:v>
      </x:c>
      <x:c r="D16" s="15" t="str">
        <x:v>外部 Tool</x:v>
      </x:c>
      <x:c r="E16" s="15" t="str">
        <x:v>是</x:v>
      </x:c>
      <x:c r="F16" s="15" t="str">
        <x:v>否</x:v>
      </x:c>
      <x:c r="G16" s="15" t="str"/>
      <x:c r="H16" s="15" t="str">
        <x:v>environment/default</x:v>
      </x:c>
      <x:c r="I16" s="15" t="str">
        <x:v>后续请求热更新</x:v>
      </x:c>
    </x:row>
    <x:row r="17">
      <x:c r="A17" s="15" t="str">
        <x:v>platform_timeout_seconds</x:v>
      </x:c>
      <x:c r="B17" s="15" t="str">
        <x:v>Swagger 超时（秒）</x:v>
      </x:c>
      <x:c r="C17" s="15" t="str">
        <x:v>PLATFORM_TIMEOUT_SECONDS</x:v>
      </x:c>
      <x:c r="D17" s="15" t="str">
        <x:v>外部 Tool</x:v>
      </x:c>
      <x:c r="E17" s="15" t="str">
        <x:v>否</x:v>
      </x:c>
      <x:c r="F17" s="15" t="str">
        <x:v>是</x:v>
      </x:c>
      <x:c r="G17" s="15" t="n">
        <x:v>30</x:v>
      </x:c>
      <x:c r="H17" s="15" t="str">
        <x:v>database</x:v>
      </x:c>
      <x:c r="I17" s="15" t="str">
        <x:v>后续请求热更新</x:v>
      </x:c>
    </x:row>
    <x:row r="18">
      <x:c r="A18" s="15" t="str">
        <x:v>ocr_gateway_url</x:v>
      </x:c>
      <x:c r="B18" s="15" t="str">
        <x:v>OCR Tool URL</x:v>
      </x:c>
      <x:c r="C18" s="15" t="str">
        <x:v>OCR_GATEWAY_URL</x:v>
      </x:c>
      <x:c r="D18" s="15" t="str">
        <x:v>外部 Tool</x:v>
      </x:c>
      <x:c r="E18" s="15" t="str">
        <x:v>否</x:v>
      </x:c>
      <x:c r="F18" s="15" t="str">
        <x:v>是</x:v>
      </x:c>
      <x:c r="G18" s="15" t="str">
        <x:v>http://ocr-gateway:8100</x:v>
      </x:c>
      <x:c r="H18" s="15" t="str">
        <x:v>database</x:v>
      </x:c>
      <x:c r="I18" s="15" t="str">
        <x:v>后续请求热更新</x:v>
      </x:c>
    </x:row>
    <x:row r="19">
      <x:c r="A19" s="15" t="str">
        <x:v>external_tools_enabled</x:v>
      </x:c>
      <x:c r="B19" s="15" t="str">
        <x:v>启用外部 Tools</x:v>
      </x:c>
      <x:c r="C19" s="15" t="str">
        <x:v>EXTERNAL_TOOLS_ENABLED</x:v>
      </x:c>
      <x:c r="D19" s="15" t="str">
        <x:v>外部 Tool</x:v>
      </x:c>
      <x:c r="E19" s="15" t="str">
        <x:v>否</x:v>
      </x:c>
      <x:c r="F19" s="15" t="str">
        <x:v>是</x:v>
      </x:c>
      <x:c r="G19" s="28" t="b">
        <x:v>1</x:v>
      </x:c>
      <x:c r="H19" s="15" t="str">
        <x:v>database</x:v>
      </x:c>
      <x:c r="I19" s="15" t="str">
        <x:v>后续请求热更新</x:v>
      </x:c>
    </x:row>
  </x:sheetData>
  <x:mergeCells>
    <x:mergeCell ref="A1:I1"/>
  </x:mergeCells>
  <x:conditionalFormatting sqref="E4:E19">
    <x:cfRule type="containsText" dxfId="6" priority="1" operator="containsText" text="是"/>
  </x:conditionalFormatting>
  <x:pageMargins left="0.7" right="0.7" top="0.75" bottom="0.75" header="0.3" footer="0.3"/>
  <x:tableParts count="1">
    <x:tablePart xmlns:r="http://schemas.openxmlformats.org/officeDocument/2006/relationships" r:id="R407cd0ebcf554a7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2" hidden="0" customWidth="1"/>
    <x:col min="2" max="2" width="46" hidden="0" customWidth="1"/>
    <x:col min="3" max="3" width="16" hidden="0" customWidth="1"/>
    <x:col min="4" max="4" width="16" hidden="0" customWidth="1"/>
    <x:col min="5" max="5" width="14" hidden="0" customWidth="1"/>
    <x:col min="6" max="6" width="12" hidden="0" customWidth="1"/>
    <x:col min="7" max="7" width="58" hidden="0" customWidth="1"/>
  </x:cols>
  <x:sheetData>
    <x:row r="1" ht="30" customHeight="1">
      <x:c r="A1" s="4" t="str">
        <x:v>当前平台接口验证</x:v>
      </x:c>
      <x:c r="B1" s="4" t="str">
        <x:v>当前平台接口验证</x:v>
      </x:c>
      <x:c r="C1" s="4" t="str">
        <x:v>当前平台接口验证</x:v>
      </x:c>
      <x:c r="D1" s="4" t="str">
        <x:v>当前平台接口验证</x:v>
      </x:c>
      <x:c r="E1" s="4" t="str">
        <x:v>当前平台接口验证</x:v>
      </x:c>
      <x:c r="F1" s="4" t="str">
        <x:v>当前平台接口验证</x:v>
      </x:c>
      <x:c r="G1" s="4" t="str">
        <x:v>当前平台接口验证</x:v>
      </x:c>
    </x:row>
    <x:row r="3" ht="30" customHeight="1">
      <x:c r="A3" s="12" t="str">
        <x:v>接口/组件</x:v>
      </x:c>
      <x:c r="B3" s="12" t="str">
        <x:v>访问地址</x:v>
      </x:c>
      <x:c r="C3" s="12" t="str">
        <x:v>调用方式</x:v>
      </x:c>
      <x:c r="D3" s="12" t="str">
        <x:v>状态</x:v>
      </x:c>
      <x:c r="E3" s="12" t="str">
        <x:v>结果</x:v>
      </x:c>
      <x:c r="F3" s="12" t="str">
        <x:v>本轮调用</x:v>
      </x:c>
      <x:c r="G3" s="12" t="str">
        <x:v>备注</x:v>
      </x:c>
    </x:row>
    <x:row r="4">
      <x:c r="A4" s="15" t="str">
        <x:v>Backend health</x:v>
      </x:c>
      <x:c r="B4" s="15" t="str">
        <x:v>http://localhost:8000/healthz</x:v>
      </x:c>
      <x:c r="C4" s="15" t="str">
        <x:v>GET</x:v>
      </x:c>
      <x:c r="D4" s="15" t="n">
        <x:v>200</x:v>
      </x:c>
      <x:c r="E4" s="15" t="str">
        <x:v>通过</x:v>
      </x:c>
      <x:c r="F4" s="15" t="str">
        <x:v>是</x:v>
      </x:c>
      <x:c r="G4" s="15" t="str">
        <x:v>{"status":"ok","service":"DSH External Service","runtimeMode":"embedded-lease-mvp","ocrGateway":"http://ocr-gateway:8100","knowledgeGateway":"http://knowledge-gateway:8101","platformGateway":"http://p</x:v>
      </x:c>
    </x:row>
    <x:row r="5">
      <x:c r="A5" s="15" t="str">
        <x:v>Frontend UI</x:v>
      </x:c>
      <x:c r="B5" s="15" t="str">
        <x:v>http://localhost:18080</x:v>
      </x:c>
      <x:c r="C5" s="15" t="str">
        <x:v>GET</x:v>
      </x:c>
      <x:c r="D5" s="15" t="n">
        <x:v>200</x:v>
      </x:c>
      <x:c r="E5" s="15" t="str">
        <x:v>通过</x:v>
      </x:c>
      <x:c r="F5" s="15" t="str">
        <x:v>是</x:v>
      </x:c>
      <x:c r="G5" s="15" t="str">
        <x:v>简单测试界面</x:v>
      </x:c>
    </x:row>
    <x:row r="6">
      <x:c r="A6" s="15" t="str">
        <x:v>批量测试接口</x:v>
      </x:c>
      <x:c r="B6" s="15" t="str">
        <x:v>http://localhost:8000/api/v1/test-cases/run</x:v>
      </x:c>
      <x:c r="C6" s="15" t="str">
        <x:v>POST</x:v>
      </x:c>
      <x:c r="D6" s="15" t="n">
        <x:v>200</x:v>
      </x:c>
      <x:c r="E6" s="15" t="str">
        <x:v>通过</x:v>
      </x:c>
      <x:c r="F6" s="15" t="str">
        <x:v>是</x:v>
      </x:c>
      <x:c r="G6" s="15" t="str">
        <x:v>40/40 completed</x:v>
      </x:c>
    </x:row>
    <x:row r="7">
      <x:c r="A7" s="15" t="str">
        <x:v>知识库 Tool</x:v>
      </x:c>
      <x:c r="B7" s="15" t="str">
        <x:v>http://knowledge-gateway:8101/search</x:v>
      </x:c>
      <x:c r="C7" s="15" t="str">
        <x:v>内部 POST</x:v>
      </x:c>
      <x:c r="D7" s="15" t="str">
        <x:v>Docker healthy</x:v>
      </x:c>
      <x:c r="E7" s="15" t="str">
        <x:v>通过</x:v>
      </x:c>
      <x:c r="F7" s="15" t="str">
        <x:v>是</x:v>
      </x:c>
      <x:c r="G7" s="15" t="str">
        <x:v>上游 77.242.240.158:18085；bm25/graph/vector；top_k=32</x:v>
      </x:c>
    </x:row>
    <x:row r="8">
      <x:c r="A8" s="15" t="str">
        <x:v>Swagger Tool</x:v>
      </x:c>
      <x:c r="B8" s="15" t="str">
        <x:v>http://platform-gateway:8102</x:v>
      </x:c>
      <x:c r="C8" s="15" t="str">
        <x:v>内部 POST</x:v>
      </x:c>
      <x:c r="D8" s="15" t="str">
        <x:v>Docker healthy</x:v>
      </x:c>
      <x:c r="E8" s="15" t="str">
        <x:v>通过</x:v>
      </x:c>
      <x:c r="F8" s="15" t="str">
        <x:v>是</x:v>
      </x:c>
      <x:c r="G8" s="15" t="str">
        <x:v>上游 77.242.240.158:18085/api/platform</x:v>
      </x:c>
    </x:row>
    <x:row r="9">
      <x:c r="A9" s="15" t="str">
        <x:v>OCR Tool</x:v>
      </x:c>
      <x:c r="B9" s="15" t="str">
        <x:v>http://ocr-gateway:8100</x:v>
      </x:c>
      <x:c r="C9" s="15" t="str">
        <x:v>内部 POST</x:v>
      </x:c>
      <x:c r="D9" s="15" t="str">
        <x:v>Docker healthy</x:v>
      </x:c>
      <x:c r="E9" s="15" t="str">
        <x:v>部分验证</x:v>
      </x:c>
      <x:c r="F9" s="15" t="str">
        <x:v>是</x:v>
      </x:c>
      <x:c r="G9" s="15" t="str">
        <x:v>PaddleOCR-VL-1.6；本轮仅占位，未上传 PNG</x:v>
      </x:c>
    </x:row>
    <x:row r="10">
      <x:c r="A10" s="15" t="str">
        <x:v>Docs</x:v>
      </x:c>
      <x:c r="B10" s="15" t="str">
        <x:v>http://localhost:8000/docs</x:v>
      </x:c>
      <x:c r="C10" s="15" t="str">
        <x:v>浏览器</x:v>
      </x:c>
      <x:c r="D10" s="15" t="n">
        <x:v>200</x:v>
      </x:c>
      <x:c r="E10" s="15" t="str">
        <x:v>可用</x:v>
      </x:c>
      <x:c r="F10" s="15" t="str">
        <x:v>是</x:v>
      </x:c>
      <x:c r="G10" s="15" t="str">
        <x:v>Swagger/OpenAPI 文档入口</x:v>
      </x:c>
    </x:row>
  </x:sheetData>
  <x:mergeCells>
    <x:mergeCell ref="A1:G1"/>
  </x:mergeCells>
  <x:pageMargins left="0.7" right="0.7" top="0.75" bottom="0.75" header="0.3" footer="0.3"/>
  <x:tableParts count="1">
    <x:tablePart xmlns:r="http://schemas.openxmlformats.org/officeDocument/2006/relationships" r:id="Rbd1c60ec7e8a4ba8"/>
  </x:tableParts>
</x:worksheet>
</file>